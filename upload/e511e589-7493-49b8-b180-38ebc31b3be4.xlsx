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 codeName="{7A2D7E96-6E34-419A-AE5F-296B3A7E7977}"/>
  <workbookPr filterPrivacy="1" codeName="ThisWorkbook" defaultThemeVersion="124226"/>
  <bookViews>
    <workbookView xWindow="0" yWindow="0" windowWidth="20490" windowHeight="7905" activeTab="3"/>
  </bookViews>
  <sheets>
    <sheet name="To Do List" sheetId="1" r:id="rId1"/>
    <sheet name="To Do List Sorted" sheetId="4" state="hidden" r:id="rId2"/>
    <sheet name="Sheet2" sheetId="2" state="hidden" r:id="rId3"/>
    <sheet name="Task Matrix" sheetId="6" r:id="rId4"/>
  </sheets>
  <definedNames>
    <definedName name="_xlnm._FilterDatabase" localSheetId="0" hidden="1">'To Do List'!$B$2:$D$32</definedName>
    <definedName name="YesNo">Sheet2!$A$18:$A$19</definedName>
  </definedNames>
  <calcPr calcId="152511"/>
</workbook>
</file>

<file path=xl/calcChain.xml><?xml version="1.0" encoding="utf-8"?>
<calcChain xmlns="http://schemas.openxmlformats.org/spreadsheetml/2006/main">
  <c r="F61" i="2" l="1" a="1"/>
  <c r="F60" i="2" a="1"/>
  <c r="F59" i="2" a="1"/>
  <c r="F58" i="2" a="1"/>
  <c r="B18" i="4"/>
  <c r="C18" i="4"/>
  <c r="D18" i="4"/>
  <c r="E18" i="4"/>
  <c r="C18" i="2" s="1"/>
  <c r="B19" i="4"/>
  <c r="C19" i="4"/>
  <c r="D19" i="4"/>
  <c r="E19" i="4"/>
  <c r="C19" i="2" s="1"/>
  <c r="E3" i="4"/>
  <c r="C3" i="2" s="1"/>
  <c r="E4" i="4"/>
  <c r="C4" i="2" s="1"/>
  <c r="E5" i="4"/>
  <c r="C5" i="2" s="1"/>
  <c r="E6" i="4"/>
  <c r="C6" i="2" s="1"/>
  <c r="E7" i="4"/>
  <c r="C7" i="2" s="1"/>
  <c r="E8" i="4"/>
  <c r="C8" i="2" s="1"/>
  <c r="E9" i="4"/>
  <c r="C9" i="2" s="1"/>
  <c r="E10" i="4"/>
  <c r="C10" i="2" s="1"/>
  <c r="E11" i="4"/>
  <c r="C11" i="2" s="1"/>
  <c r="E12" i="4"/>
  <c r="C12" i="2" s="1"/>
  <c r="E13" i="4"/>
  <c r="C13" i="2" s="1"/>
  <c r="E14" i="4"/>
  <c r="C14" i="2" s="1"/>
  <c r="E15" i="4"/>
  <c r="C15" i="2" s="1"/>
  <c r="E16" i="4"/>
  <c r="C16" i="2" s="1"/>
  <c r="E17" i="4"/>
  <c r="C17" i="2" s="1"/>
  <c r="E20" i="4"/>
  <c r="C20" i="2" s="1"/>
  <c r="E21" i="4"/>
  <c r="C21" i="2" s="1"/>
  <c r="E22" i="4"/>
  <c r="C22" i="2" s="1"/>
  <c r="E23" i="4"/>
  <c r="C23" i="2" s="1"/>
  <c r="E24" i="4"/>
  <c r="C24" i="2" s="1"/>
  <c r="E25" i="4"/>
  <c r="C25" i="2" s="1"/>
  <c r="E26" i="4"/>
  <c r="C26" i="2" s="1"/>
  <c r="E27" i="4"/>
  <c r="C27" i="2" s="1"/>
  <c r="E28" i="4"/>
  <c r="C28" i="2" s="1"/>
  <c r="E29" i="4"/>
  <c r="C29" i="2" s="1"/>
  <c r="E30" i="4"/>
  <c r="C30" i="2" s="1"/>
  <c r="E31" i="4"/>
  <c r="C31" i="2" s="1"/>
  <c r="E32" i="4"/>
  <c r="C32" i="2" s="1"/>
  <c r="E33" i="4"/>
  <c r="C33" i="2" s="1"/>
  <c r="E34" i="4"/>
  <c r="C34" i="2" s="1"/>
  <c r="E35" i="4"/>
  <c r="C35" i="2" s="1"/>
  <c r="E36" i="4"/>
  <c r="C36" i="2" s="1"/>
  <c r="E37" i="4"/>
  <c r="C37" i="2" s="1"/>
  <c r="E38" i="4"/>
  <c r="C38" i="2" s="1"/>
  <c r="E39" i="4"/>
  <c r="C39" i="2" s="1"/>
  <c r="E40" i="4"/>
  <c r="C40" i="2" s="1"/>
  <c r="E41" i="4"/>
  <c r="C41" i="2" s="1"/>
  <c r="E42" i="4"/>
  <c r="C42" i="2" s="1"/>
  <c r="E43" i="4"/>
  <c r="C43" i="2" s="1"/>
  <c r="E44" i="4"/>
  <c r="C44" i="2" s="1"/>
  <c r="E45" i="4"/>
  <c r="C45" i="2" s="1"/>
  <c r="E46" i="4"/>
  <c r="C46" i="2" s="1"/>
  <c r="E47" i="4"/>
  <c r="C47" i="2" s="1"/>
  <c r="E48" i="4"/>
  <c r="C48" i="2" s="1"/>
  <c r="E49" i="4"/>
  <c r="C49" i="2" s="1"/>
  <c r="E50" i="4"/>
  <c r="C50" i="2" s="1"/>
  <c r="E51" i="4"/>
  <c r="C51" i="2" s="1"/>
  <c r="E52" i="4"/>
  <c r="C52" i="2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G17" i="2" s="1"/>
  <c r="C20" i="4"/>
  <c r="C21" i="4"/>
  <c r="C22" i="4"/>
  <c r="G22" i="2" s="1"/>
  <c r="C23" i="4"/>
  <c r="C24" i="4"/>
  <c r="C25" i="4"/>
  <c r="G25" i="2" s="1"/>
  <c r="C26" i="4"/>
  <c r="G26" i="2" s="1"/>
  <c r="C27" i="4"/>
  <c r="C28" i="4"/>
  <c r="C29" i="4"/>
  <c r="G29" i="2" s="1"/>
  <c r="C30" i="4"/>
  <c r="C31" i="4"/>
  <c r="C32" i="4"/>
  <c r="H32" i="2" s="1"/>
  <c r="C33" i="4"/>
  <c r="C34" i="4"/>
  <c r="G34" i="2" s="1"/>
  <c r="C35" i="4"/>
  <c r="E35" i="2" s="1"/>
  <c r="C36" i="4"/>
  <c r="H36" i="2" s="1"/>
  <c r="C37" i="4"/>
  <c r="G37" i="2" s="1"/>
  <c r="C38" i="4"/>
  <c r="G38" i="2" s="1"/>
  <c r="C39" i="4"/>
  <c r="E39" i="2" s="1"/>
  <c r="C40" i="4"/>
  <c r="C41" i="4"/>
  <c r="G41" i="2" s="1"/>
  <c r="C42" i="4"/>
  <c r="C43" i="4"/>
  <c r="C44" i="4"/>
  <c r="C45" i="4"/>
  <c r="C46" i="4"/>
  <c r="C47" i="4"/>
  <c r="E47" i="2" s="1"/>
  <c r="C48" i="4"/>
  <c r="C49" i="4"/>
  <c r="H49" i="2" s="1"/>
  <c r="C50" i="4"/>
  <c r="C51" i="4"/>
  <c r="C52" i="4"/>
  <c r="H52" i="2" s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G33" i="2" l="1"/>
  <c r="E31" i="2"/>
  <c r="E27" i="2"/>
  <c r="H20" i="2"/>
  <c r="H21" i="2"/>
  <c r="E23" i="2"/>
  <c r="E16" i="2"/>
  <c r="G5" i="2"/>
  <c r="E7" i="2"/>
  <c r="E8" i="2"/>
  <c r="F15" i="2"/>
  <c r="G13" i="2"/>
  <c r="E12" i="2"/>
  <c r="E11" i="2"/>
  <c r="F6" i="2"/>
  <c r="G9" i="2"/>
  <c r="E4" i="2"/>
  <c r="F3" i="2"/>
  <c r="F11" i="2"/>
  <c r="H33" i="2"/>
  <c r="H25" i="2"/>
  <c r="H41" i="2"/>
  <c r="E13" i="2"/>
  <c r="H17" i="2"/>
  <c r="F19" i="2"/>
  <c r="G49" i="2"/>
  <c r="G23" i="2"/>
  <c r="F31" i="2"/>
  <c r="F39" i="2"/>
  <c r="F47" i="2"/>
  <c r="H48" i="2"/>
  <c r="H44" i="2"/>
  <c r="H40" i="2"/>
  <c r="H28" i="2"/>
  <c r="H24" i="2"/>
  <c r="F14" i="2"/>
  <c r="F10" i="2"/>
  <c r="G10" i="2"/>
  <c r="H14" i="2"/>
  <c r="F20" i="2"/>
  <c r="E28" i="2"/>
  <c r="E36" i="2"/>
  <c r="E44" i="2"/>
  <c r="E52" i="2"/>
  <c r="J52" i="2" s="1"/>
  <c r="E51" i="2"/>
  <c r="J51" i="2" s="1"/>
  <c r="E43" i="2"/>
  <c r="G6" i="2"/>
  <c r="E9" i="2"/>
  <c r="H10" i="2"/>
  <c r="H13" i="2"/>
  <c r="E24" i="2"/>
  <c r="F28" i="2"/>
  <c r="G31" i="2"/>
  <c r="F36" i="2"/>
  <c r="G39" i="2"/>
  <c r="F44" i="2"/>
  <c r="G47" i="2"/>
  <c r="F52" i="2"/>
  <c r="K52" i="2" s="1"/>
  <c r="E5" i="2"/>
  <c r="H6" i="2"/>
  <c r="H9" i="2"/>
  <c r="F24" i="2"/>
  <c r="F27" i="2"/>
  <c r="E32" i="2"/>
  <c r="F35" i="2"/>
  <c r="E40" i="2"/>
  <c r="F43" i="2"/>
  <c r="E48" i="2"/>
  <c r="F51" i="2"/>
  <c r="K51" i="2" s="1"/>
  <c r="G45" i="2"/>
  <c r="G21" i="2"/>
  <c r="E15" i="2"/>
  <c r="E3" i="2"/>
  <c r="H5" i="2"/>
  <c r="F7" i="2"/>
  <c r="G14" i="2"/>
  <c r="E17" i="2"/>
  <c r="E20" i="2"/>
  <c r="F23" i="2"/>
  <c r="G27" i="2"/>
  <c r="H29" i="2"/>
  <c r="F32" i="2"/>
  <c r="G35" i="2"/>
  <c r="H37" i="2"/>
  <c r="F40" i="2"/>
  <c r="G43" i="2"/>
  <c r="H45" i="2"/>
  <c r="F48" i="2"/>
  <c r="G51" i="2"/>
  <c r="L51" i="2" s="1"/>
  <c r="F50" i="2"/>
  <c r="E50" i="2"/>
  <c r="H50" i="2"/>
  <c r="G50" i="2"/>
  <c r="F46" i="2"/>
  <c r="E46" i="2"/>
  <c r="H46" i="2"/>
  <c r="G46" i="2"/>
  <c r="F42" i="2"/>
  <c r="H42" i="2"/>
  <c r="E42" i="2"/>
  <c r="G42" i="2"/>
  <c r="F38" i="2"/>
  <c r="E38" i="2"/>
  <c r="H38" i="2"/>
  <c r="F34" i="2"/>
  <c r="E34" i="2"/>
  <c r="H34" i="2"/>
  <c r="F30" i="2"/>
  <c r="H30" i="2"/>
  <c r="E30" i="2"/>
  <c r="F26" i="2"/>
  <c r="H26" i="2"/>
  <c r="E26" i="2"/>
  <c r="F22" i="2"/>
  <c r="H22" i="2"/>
  <c r="E22" i="2"/>
  <c r="H16" i="2"/>
  <c r="F16" i="2"/>
  <c r="G16" i="2"/>
  <c r="H12" i="2"/>
  <c r="G12" i="2"/>
  <c r="F12" i="2"/>
  <c r="H8" i="2"/>
  <c r="G8" i="2"/>
  <c r="F8" i="2"/>
  <c r="H4" i="2"/>
  <c r="F60" i="2"/>
  <c r="G4" i="2"/>
  <c r="F4" i="2"/>
  <c r="F58" i="2"/>
  <c r="E19" i="2"/>
  <c r="G19" i="2"/>
  <c r="H19" i="2"/>
  <c r="F18" i="2"/>
  <c r="H18" i="2"/>
  <c r="E18" i="2"/>
  <c r="G18" i="2"/>
  <c r="G30" i="2"/>
  <c r="G3" i="2"/>
  <c r="G7" i="2"/>
  <c r="G11" i="2"/>
  <c r="E33" i="2"/>
  <c r="E37" i="2"/>
  <c r="E45" i="2"/>
  <c r="E49" i="2"/>
  <c r="H3" i="2"/>
  <c r="F5" i="2"/>
  <c r="E6" i="2"/>
  <c r="H7" i="2"/>
  <c r="F9" i="2"/>
  <c r="E10" i="2"/>
  <c r="H11" i="2"/>
  <c r="F13" i="2"/>
  <c r="E14" i="2"/>
  <c r="H15" i="2"/>
  <c r="F17" i="2"/>
  <c r="G20" i="2"/>
  <c r="F21" i="2"/>
  <c r="H23" i="2"/>
  <c r="G24" i="2"/>
  <c r="F25" i="2"/>
  <c r="H27" i="2"/>
  <c r="G28" i="2"/>
  <c r="F29" i="2"/>
  <c r="H31" i="2"/>
  <c r="G32" i="2"/>
  <c r="F33" i="2"/>
  <c r="H35" i="2"/>
  <c r="G36" i="2"/>
  <c r="F37" i="2"/>
  <c r="H39" i="2"/>
  <c r="G40" i="2"/>
  <c r="F41" i="2"/>
  <c r="H43" i="2"/>
  <c r="G44" i="2"/>
  <c r="F45" i="2"/>
  <c r="H47" i="2"/>
  <c r="G48" i="2"/>
  <c r="F49" i="2"/>
  <c r="H51" i="2"/>
  <c r="M51" i="2" s="1"/>
  <c r="G52" i="2"/>
  <c r="L52" i="2" s="1"/>
  <c r="F59" i="2"/>
  <c r="F61" i="2"/>
  <c r="G15" i="2"/>
  <c r="E21" i="2"/>
  <c r="E25" i="2"/>
  <c r="E29" i="2"/>
  <c r="E41" i="2"/>
  <c r="M52" i="2"/>
  <c r="J4" i="2" l="1"/>
  <c r="J5" i="2"/>
  <c r="J6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7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M3" i="2"/>
  <c r="L3" i="2"/>
  <c r="J3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O17" i="2" l="1"/>
  <c r="O18" i="2"/>
  <c r="O19" i="2"/>
  <c r="O28" i="2"/>
  <c r="N10" i="2"/>
  <c r="N9" i="2"/>
  <c r="N8" i="2"/>
  <c r="N7" i="2"/>
  <c r="N4" i="2"/>
  <c r="N6" i="2"/>
  <c r="N5" i="2"/>
  <c r="N3" i="2"/>
  <c r="R21" i="2"/>
  <c r="R20" i="2"/>
  <c r="R19" i="2"/>
  <c r="R18" i="2"/>
  <c r="R17" i="2"/>
  <c r="R16" i="2"/>
  <c r="R15" i="2"/>
  <c r="R14" i="2"/>
  <c r="R13" i="2"/>
  <c r="R12" i="2"/>
  <c r="K14" i="6" s="1"/>
  <c r="R11" i="2"/>
  <c r="K13" i="6" s="1"/>
  <c r="R10" i="2"/>
  <c r="K12" i="6" s="1"/>
  <c r="R9" i="2"/>
  <c r="K11" i="6" s="1"/>
  <c r="R8" i="2"/>
  <c r="K10" i="6" s="1"/>
  <c r="R7" i="2"/>
  <c r="K9" i="6" s="1"/>
  <c r="R6" i="2"/>
  <c r="K8" i="6" s="1"/>
  <c r="R5" i="2"/>
  <c r="K7" i="6" s="1"/>
  <c r="R4" i="2"/>
  <c r="K6" i="6" s="1"/>
  <c r="R3" i="2"/>
  <c r="K5" i="6" s="1"/>
  <c r="Q17" i="2"/>
  <c r="Q16" i="2"/>
  <c r="Q15" i="2"/>
  <c r="Q14" i="2"/>
  <c r="Q13" i="2"/>
  <c r="Q12" i="2"/>
  <c r="H14" i="6" s="1"/>
  <c r="Q11" i="2"/>
  <c r="H13" i="6" s="1"/>
  <c r="Q10" i="2"/>
  <c r="H12" i="6" s="1"/>
  <c r="Q9" i="2"/>
  <c r="H11" i="6" s="1"/>
  <c r="Q8" i="2"/>
  <c r="H10" i="6" s="1"/>
  <c r="Q7" i="2"/>
  <c r="H9" i="6" s="1"/>
  <c r="Q6" i="2"/>
  <c r="H8" i="6" s="1"/>
  <c r="Q5" i="2"/>
  <c r="H7" i="6" s="1"/>
  <c r="Q3" i="2"/>
  <c r="H5" i="6" s="1"/>
  <c r="Q20" i="2"/>
  <c r="Q18" i="2"/>
  <c r="Q4" i="2"/>
  <c r="H6" i="6" s="1"/>
  <c r="Q21" i="2"/>
  <c r="Q19" i="2"/>
  <c r="P16" i="2"/>
  <c r="P14" i="2"/>
  <c r="P12" i="2"/>
  <c r="E14" i="6" s="1"/>
  <c r="P10" i="2"/>
  <c r="E12" i="6" s="1"/>
  <c r="P8" i="2"/>
  <c r="E10" i="6" s="1"/>
  <c r="P6" i="2"/>
  <c r="E8" i="6" s="1"/>
  <c r="P4" i="2"/>
  <c r="E6" i="6" s="1"/>
  <c r="P21" i="2"/>
  <c r="P19" i="2"/>
  <c r="P17" i="2"/>
  <c r="P15" i="2"/>
  <c r="P13" i="2"/>
  <c r="P11" i="2"/>
  <c r="E13" i="6" s="1"/>
  <c r="P9" i="2"/>
  <c r="E11" i="6" s="1"/>
  <c r="P7" i="2"/>
  <c r="E9" i="6" s="1"/>
  <c r="P5" i="2"/>
  <c r="E7" i="6" s="1"/>
  <c r="P3" i="2"/>
  <c r="E5" i="6" s="1"/>
  <c r="P20" i="2"/>
  <c r="P18" i="2"/>
  <c r="O34" i="2"/>
  <c r="O42" i="2"/>
  <c r="O35" i="2"/>
  <c r="O43" i="2"/>
  <c r="O15" i="2"/>
  <c r="O13" i="2"/>
  <c r="O11" i="2"/>
  <c r="B13" i="6" s="1"/>
  <c r="O9" i="2"/>
  <c r="B11" i="6" s="1"/>
  <c r="O7" i="2"/>
  <c r="B9" i="6" s="1"/>
  <c r="O5" i="2"/>
  <c r="B7" i="6" s="1"/>
  <c r="O3" i="2"/>
  <c r="B5" i="6" s="1"/>
  <c r="O36" i="2"/>
  <c r="O44" i="2"/>
  <c r="O21" i="2"/>
  <c r="O20" i="2"/>
  <c r="O29" i="2"/>
  <c r="O33" i="2"/>
  <c r="O37" i="2"/>
  <c r="O41" i="2"/>
  <c r="O45" i="2"/>
  <c r="O30" i="2"/>
  <c r="O38" i="2"/>
  <c r="O46" i="2"/>
  <c r="O31" i="2"/>
  <c r="O39" i="2"/>
  <c r="O47" i="2"/>
  <c r="O16" i="2"/>
  <c r="O14" i="2"/>
  <c r="O12" i="2"/>
  <c r="B14" i="6" s="1"/>
  <c r="O10" i="2"/>
  <c r="B12" i="6" s="1"/>
  <c r="O8" i="2"/>
  <c r="B10" i="6" s="1"/>
  <c r="O6" i="2"/>
  <c r="B8" i="6" s="1"/>
  <c r="O4" i="2"/>
  <c r="B6" i="6" s="1"/>
  <c r="O32" i="2"/>
  <c r="O40" i="2"/>
  <c r="O48" i="2"/>
  <c r="R47" i="2"/>
  <c r="R43" i="2"/>
  <c r="R39" i="2"/>
  <c r="R35" i="2"/>
  <c r="R31" i="2"/>
  <c r="R27" i="2"/>
  <c r="R23" i="2"/>
  <c r="R52" i="2"/>
  <c r="R44" i="2"/>
  <c r="R36" i="2"/>
  <c r="R28" i="2"/>
  <c r="R50" i="2"/>
  <c r="R46" i="2"/>
  <c r="R42" i="2"/>
  <c r="R38" i="2"/>
  <c r="R34" i="2"/>
  <c r="R30" i="2"/>
  <c r="R26" i="2"/>
  <c r="R22" i="2"/>
  <c r="R48" i="2"/>
  <c r="R40" i="2"/>
  <c r="R32" i="2"/>
  <c r="R24" i="2"/>
  <c r="R49" i="2"/>
  <c r="R33" i="2"/>
  <c r="R51" i="2"/>
  <c r="R41" i="2"/>
  <c r="R45" i="2"/>
  <c r="R29" i="2"/>
  <c r="R37" i="2"/>
  <c r="R25" i="2"/>
  <c r="P51" i="2"/>
  <c r="P50" i="2"/>
  <c r="P46" i="2"/>
  <c r="P42" i="2"/>
  <c r="P38" i="2"/>
  <c r="P34" i="2"/>
  <c r="P30" i="2"/>
  <c r="P26" i="2"/>
  <c r="P22" i="2"/>
  <c r="P47" i="2"/>
  <c r="P39" i="2"/>
  <c r="P31" i="2"/>
  <c r="P23" i="2"/>
  <c r="P52" i="2"/>
  <c r="P49" i="2"/>
  <c r="P45" i="2"/>
  <c r="P41" i="2"/>
  <c r="P37" i="2"/>
  <c r="P33" i="2"/>
  <c r="P29" i="2"/>
  <c r="P25" i="2"/>
  <c r="P43" i="2"/>
  <c r="P35" i="2"/>
  <c r="P27" i="2"/>
  <c r="P44" i="2"/>
  <c r="P28" i="2"/>
  <c r="P40" i="2"/>
  <c r="P24" i="2"/>
  <c r="P48" i="2"/>
  <c r="P32" i="2"/>
  <c r="P36" i="2"/>
  <c r="O49" i="2"/>
  <c r="O25" i="2"/>
  <c r="O50" i="2"/>
  <c r="O26" i="2"/>
  <c r="O24" i="2"/>
  <c r="O52" i="2"/>
  <c r="O22" i="2"/>
  <c r="O23" i="2"/>
  <c r="O27" i="2"/>
  <c r="O51" i="2"/>
  <c r="Q24" i="2"/>
  <c r="Q28" i="2"/>
  <c r="Q32" i="2"/>
  <c r="Q36" i="2"/>
  <c r="Q40" i="2"/>
  <c r="Q44" i="2"/>
  <c r="Q48" i="2"/>
  <c r="Q52" i="2"/>
  <c r="Q29" i="2"/>
  <c r="Q33" i="2"/>
  <c r="Q41" i="2"/>
  <c r="Q45" i="2"/>
  <c r="Q22" i="2"/>
  <c r="Q30" i="2"/>
  <c r="Q38" i="2"/>
  <c r="Q23" i="2"/>
  <c r="Q27" i="2"/>
  <c r="Q31" i="2"/>
  <c r="Q35" i="2"/>
  <c r="Q39" i="2"/>
  <c r="Q43" i="2"/>
  <c r="Q47" i="2"/>
  <c r="Q51" i="2"/>
  <c r="Q25" i="2"/>
  <c r="Q37" i="2"/>
  <c r="Q49" i="2"/>
  <c r="Q26" i="2"/>
  <c r="Q34" i="2"/>
  <c r="Q42" i="2"/>
  <c r="Q46" i="2"/>
  <c r="Q50" i="2"/>
  <c r="O53" i="2" l="1"/>
</calcChain>
</file>

<file path=xl/sharedStrings.xml><?xml version="1.0" encoding="utf-8"?>
<sst xmlns="http://schemas.openxmlformats.org/spreadsheetml/2006/main" count="59" uniqueCount="27">
  <si>
    <t>Activities</t>
  </si>
  <si>
    <t>Important</t>
  </si>
  <si>
    <t>Urgent</t>
  </si>
  <si>
    <t>Yes</t>
  </si>
  <si>
    <t>No</t>
  </si>
  <si>
    <t>Important &amp; Urgent</t>
  </si>
  <si>
    <t>None</t>
  </si>
  <si>
    <t>Scroll Bar - Imp and Urgent</t>
  </si>
  <si>
    <t>Top Right</t>
  </si>
  <si>
    <t>Top Left</t>
  </si>
  <si>
    <t>Bottom Right</t>
  </si>
  <si>
    <t>Bottom Left</t>
  </si>
  <si>
    <t>Status</t>
  </si>
  <si>
    <t>Completed</t>
  </si>
  <si>
    <t>To be Started</t>
  </si>
  <si>
    <t>In-Progress</t>
  </si>
  <si>
    <t>Status Options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</si>
  <si>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</si>
  <si>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</si>
  <si>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</si>
  <si>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</si>
  <si>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</si>
  <si>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</si>
  <si>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</si>
  <si>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</si>
  <si>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r>
      <t xml:space="preserve">If video not playing, use this link:
https://www.youtube.com/watch?v=KYDUHQ31ni4 
</t>
    </r>
    <r>
      <rPr>
        <sz val="10"/>
        <color rgb="FFC00000"/>
        <rFont val="Calibri"/>
        <family val="2"/>
        <scheme val="minor"/>
      </rPr>
      <t>To Remove Video, Go to Developer Tab, select Design Mode, Click on Video Frame and Delete</t>
    </r>
  </si>
  <si>
    <t>*Double Click on the Tasks that have been completed (to cross it off)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</si>
</sst>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theme="1"/>
      <name val="Calibri"/>
      <scheme val="minor"/>
    </font>
    <font>
      <sz val="10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0" xfId="0" applyFont="1" applyBorder="1" applyAlignment="1">
      <alignment vertical="top" wrapText="1"/>
    </xf>
    <xf numFmtId="0" fontId="0" fillId="0" borderId="0" xfId="0" applyFont="1" applyBorder="1"/>
    <xf numFmtId="0" fontId="2" fillId="0" borderId="0" xfId="0" applyFont="1" applyBorder="1" applyAlignment="1">
      <alignment vertical="top" wrapText="1"/>
    </xf>
    <xf numFmtId="0" fontId="0" fillId="0" borderId="2" xfId="0" applyBorder="1"/>
    <xf numFmtId="0" fontId="3" fillId="0" borderId="3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11" xfId="0" applyBorder="1"/>
    <xf numFmtId="0" fontId="0" fillId="0" borderId="4" xfId="0" applyBorder="1"/>
    <xf numFmtId="0" fontId="6" fillId="0" borderId="9" xfId="0" applyFont="1" applyBorder="1"/>
    <xf numFmtId="0" fontId="6" fillId="0" borderId="10" xfId="0" applyFont="1" applyBorder="1"/>
    <xf numFmtId="0" fontId="6" fillId="0" borderId="6" xfId="0" applyFont="1" applyBorder="1"/>
    <xf numFmtId="0" fontId="0" fillId="0" borderId="12" xfId="0" applyFill="1" applyBorder="1"/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0" fillId="0" borderId="0" xfId="0" applyAlignment="1">
      <alignment horizontal="centerContinuous" wrapText="1"/>
    </xf>
    <xf numFmtId="0" fontId="6" fillId="0" borderId="0" xfId="0" applyFont="1" applyAlignment="1">
      <alignment horizontal="centerContinuous" wrapText="1"/>
    </xf>
    <xf numFmtId="0" fontId="0" fillId="0" borderId="0" xfId="0" applyAlignment="1">
      <alignment horizontal="centerContinuous"/>
    </xf>
    <xf numFmtId="0" fontId="8" fillId="0" borderId="0" xfId="0" applyFont="1"/>
    <xf numFmtId="0" fontId="5" fillId="0" borderId="3" xfId="0" applyFont="1" applyBorder="1" applyAlignment="1">
      <alignment horizontal="center"/>
    </xf>
  </cellXfs>
  <cellStyles count="1">
    <cellStyle name="Normal" xfId="0" builtinId="0"/>
  </cellStyles>
  <dxfs count="26"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6/relationships/vbaProject" Target="vbaProject.bin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27CDB6E-AE6D-11CF-96B8-444553540000}" ax:persistence="persistStreamInit" r:id="rId1"/>
</file>

<file path=xl/ctrlProps/ctrlProp1.xml><?xml version="1.0" encoding="utf-8"?>
<formControlPr xmlns="http://schemas.microsoft.com/office/spreadsheetml/2009/9/main" objectType="Scroll" dx="16" fmlaLink="Sheet2!$B$6" max="40" min="1" page="5"/>
</file>

<file path=xl/ctrlProps/ctrlProp2.xml><?xml version="1.0" encoding="utf-8"?>
<formControlPr xmlns="http://schemas.microsoft.com/office/spreadsheetml/2009/9/main" objectType="Scroll" dx="16" fmlaLink="Sheet2!$B$7" max="45" min="1" page="5"/>
</file>

<file path=xl/ctrlProps/ctrlProp3.xml><?xml version="1.0" encoding="utf-8"?>
<formControlPr xmlns="http://schemas.microsoft.com/office/spreadsheetml/2009/9/main" objectType="Scroll" dx="16" fmlaLink="Sheet2!$B$8" max="45" min="1" page="5"/>
</file>

<file path=xl/ctrlProps/ctrlProp4.xml><?xml version="1.0" encoding="utf-8"?>
<formControlPr xmlns="http://schemas.microsoft.com/office/spreadsheetml/2009/9/main" objectType="Scroll" dx="16" fmlaLink="Sheet2!$B$9" max="45" min="1" page="5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https://twitter.com/TrumpExcel" TargetMode="External"/><Relationship Id="rId7" Type="http://schemas.openxmlformats.org/officeDocument/2006/relationships/hyperlink" Target="http://www.trumpexcel.com/" TargetMode="External"/><Relationship Id="rId2" Type="http://schemas.openxmlformats.org/officeDocument/2006/relationships/image" Target="../media/image2.png"/><Relationship Id="rId1" Type="http://schemas.openxmlformats.org/officeDocument/2006/relationships/hyperlink" Target="https://www.facebook.com/Trumpexcel1" TargetMode="External"/><Relationship Id="rId6" Type="http://schemas.openxmlformats.org/officeDocument/2006/relationships/image" Target="../media/image4.png"/><Relationship Id="rId5" Type="http://schemas.openxmlformats.org/officeDocument/2006/relationships/hyperlink" Target="https://www.youtube.com/user/trumpexcel" TargetMode="External"/><Relationship Id="rId4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419958</xdr:colOff>
      <xdr:row>1</xdr:row>
      <xdr:rowOff>161925</xdr:rowOff>
    </xdr:from>
    <xdr:to>
      <xdr:col>10</xdr:col>
      <xdr:colOff>86583</xdr:colOff>
      <xdr:row>5</xdr:row>
      <xdr:rowOff>38100</xdr:rowOff>
    </xdr:to>
    <xdr:sp macro="" textlink="">
      <xdr:nvSpPr>
        <xdr:cNvPr id="6" name="Rounded Rectangle 5"/>
        <xdr:cNvSpPr/>
      </xdr:nvSpPr>
      <xdr:spPr>
        <a:xfrm>
          <a:off x="9344883" y="352425"/>
          <a:ext cx="2105025" cy="638175"/>
        </a:xfrm>
        <a:prstGeom prst="roundRect">
          <a:avLst>
            <a:gd name="adj" fmla="val 6540"/>
          </a:avLst>
        </a:prstGeom>
        <a:solidFill>
          <a:schemeClr val="bg1">
            <a:lumMod val="95000"/>
          </a:schemeClr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150266</xdr:colOff>
      <xdr:row>3</xdr:row>
      <xdr:rowOff>47828</xdr:rowOff>
    </xdr:from>
    <xdr:to>
      <xdr:col>7</xdr:col>
      <xdr:colOff>422159</xdr:colOff>
      <xdr:row>4</xdr:row>
      <xdr:rowOff>137485</xdr:rowOff>
    </xdr:to>
    <xdr:pic>
      <xdr:nvPicPr>
        <xdr:cNvPr id="7" name="Picture 6">
          <a:hlinkClick xmlns:r="http://schemas.openxmlformats.org/officeDocument/2006/relationships" r:id="rId1" tooltip="Follow Trump Excel on Facebook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4791" y="619328"/>
          <a:ext cx="271893" cy="280157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8</xdr:col>
      <xdr:colOff>108262</xdr:colOff>
      <xdr:row>3</xdr:row>
      <xdr:rowOff>47828</xdr:rowOff>
    </xdr:from>
    <xdr:to>
      <xdr:col>8</xdr:col>
      <xdr:colOff>380155</xdr:colOff>
      <xdr:row>4</xdr:row>
      <xdr:rowOff>137485</xdr:rowOff>
    </xdr:to>
    <xdr:pic>
      <xdr:nvPicPr>
        <xdr:cNvPr id="8" name="Picture 7">
          <a:hlinkClick xmlns:r="http://schemas.openxmlformats.org/officeDocument/2006/relationships" r:id="rId3" tooltip="Follow Trump Excel on Twitter"/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2387" y="619328"/>
          <a:ext cx="271893" cy="280157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9</xdr:col>
      <xdr:colOff>66256</xdr:colOff>
      <xdr:row>3</xdr:row>
      <xdr:rowOff>29151</xdr:rowOff>
    </xdr:from>
    <xdr:to>
      <xdr:col>9</xdr:col>
      <xdr:colOff>356275</xdr:colOff>
      <xdr:row>4</xdr:row>
      <xdr:rowOff>137485</xdr:rowOff>
    </xdr:to>
    <xdr:pic>
      <xdr:nvPicPr>
        <xdr:cNvPr id="9" name="Picture 8">
          <a:hlinkClick xmlns:r="http://schemas.openxmlformats.org/officeDocument/2006/relationships" r:id="rId5" tooltip="Subscribe to Trump Excel YouTube Channel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9981" y="600651"/>
          <a:ext cx="290019" cy="298834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7</xdr:col>
      <xdr:colOff>433318</xdr:colOff>
      <xdr:row>1</xdr:row>
      <xdr:rowOff>126055</xdr:rowOff>
    </xdr:from>
    <xdr:to>
      <xdr:col>9</xdr:col>
      <xdr:colOff>73223</xdr:colOff>
      <xdr:row>3</xdr:row>
      <xdr:rowOff>163344</xdr:rowOff>
    </xdr:to>
    <xdr:sp macro="" textlink="">
      <xdr:nvSpPr>
        <xdr:cNvPr id="10" name="Rectangle 9"/>
        <xdr:cNvSpPr/>
      </xdr:nvSpPr>
      <xdr:spPr>
        <a:xfrm>
          <a:off x="9967843" y="316555"/>
          <a:ext cx="859105" cy="41828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000" b="1">
              <a:solidFill>
                <a:srgbClr val="C00000"/>
              </a:solidFill>
              <a:latin typeface="Segoe Print" panose="02000600000000000000" pitchFamily="2" charset="0"/>
            </a:rPr>
            <a:t>Follow Us</a:t>
          </a:r>
        </a:p>
      </xdr:txBody>
    </xdr:sp>
    <xdr:clientData/>
  </xdr:twoCellAnchor>
  <xdr:twoCellAnchor>
    <xdr:from>
      <xdr:col>5</xdr:col>
      <xdr:colOff>1330071</xdr:colOff>
      <xdr:row>6</xdr:row>
      <xdr:rowOff>63181</xdr:rowOff>
    </xdr:from>
    <xdr:to>
      <xdr:col>11</xdr:col>
      <xdr:colOff>66675</xdr:colOff>
      <xdr:row>7</xdr:row>
      <xdr:rowOff>113032</xdr:rowOff>
    </xdr:to>
    <xdr:sp macro="" textlink="">
      <xdr:nvSpPr>
        <xdr:cNvPr id="11" name="Rounded Rectangle 10"/>
        <xdr:cNvSpPr/>
      </xdr:nvSpPr>
      <xdr:spPr>
        <a:xfrm>
          <a:off x="8759571" y="1206181"/>
          <a:ext cx="3118104" cy="240351"/>
        </a:xfrm>
        <a:prstGeom prst="roundRect">
          <a:avLst>
            <a:gd name="adj" fmla="val 6540"/>
          </a:avLst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rIns="45720" rtlCol="0" anchor="ctr"/>
        <a:lstStyle/>
        <a:p>
          <a:pPr algn="ctr"/>
          <a:r>
            <a:rPr lang="en-US" sz="1000" b="1" i="1">
              <a:solidFill>
                <a:schemeClr val="accent2"/>
              </a:solidFill>
            </a:rPr>
            <a:t>Check this Video on how to Effectively use this Template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123825</xdr:rowOff>
        </xdr:from>
        <xdr:to>
          <xdr:col>11</xdr:col>
          <xdr:colOff>66675</xdr:colOff>
          <xdr:row>16</xdr:row>
          <xdr:rowOff>200025</xdr:rowOff>
        </xdr:to>
        <xdr:sp macro="" textlink="">
          <xdr:nvSpPr>
            <xdr:cNvPr id="5122" name="ShockwaveFlash1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839684</xdr:colOff>
      <xdr:row>18</xdr:row>
      <xdr:rowOff>105207</xdr:rowOff>
    </xdr:from>
    <xdr:to>
      <xdr:col>11</xdr:col>
      <xdr:colOff>531918</xdr:colOff>
      <xdr:row>20</xdr:row>
      <xdr:rowOff>113866</xdr:rowOff>
    </xdr:to>
    <xdr:sp macro="" textlink="">
      <xdr:nvSpPr>
        <xdr:cNvPr id="12" name="Rectangle 11"/>
        <xdr:cNvSpPr>
          <a:spLocks/>
        </xdr:cNvSpPr>
      </xdr:nvSpPr>
      <xdr:spPr bwMode="auto">
        <a:xfrm>
          <a:off x="8269184" y="4058082"/>
          <a:ext cx="4073734" cy="389659"/>
        </a:xfrm>
        <a:prstGeom prst="rect">
          <a:avLst/>
        </a:prstGeom>
        <a:solidFill>
          <a:schemeClr val="accent3">
            <a:lumMod val="20000"/>
            <a:lumOff val="80000"/>
            <a:alpha val="82000"/>
          </a:schemeClr>
        </a:solidFill>
        <a:ln w="1587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503197</xdr:colOff>
      <xdr:row>18</xdr:row>
      <xdr:rowOff>165175</xdr:rowOff>
    </xdr:from>
    <xdr:to>
      <xdr:col>11</xdr:col>
      <xdr:colOff>533400</xdr:colOff>
      <xdr:row>20</xdr:row>
      <xdr:rowOff>53898</xdr:rowOff>
    </xdr:to>
    <xdr:sp macro="" textlink="">
      <xdr:nvSpPr>
        <xdr:cNvPr id="13" name="TextBox 12"/>
        <xdr:cNvSpPr txBox="1">
          <a:spLocks noChangeAspect="1"/>
        </xdr:cNvSpPr>
      </xdr:nvSpPr>
      <xdr:spPr bwMode="auto">
        <a:xfrm>
          <a:off x="9266197" y="4118050"/>
          <a:ext cx="3078203" cy="2697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Visit www.trumpexcel.com</a:t>
          </a:r>
          <a:r>
            <a:rPr lang="en-US" sz="1100" baseline="0"/>
            <a:t> for more tips and tricks</a:t>
          </a:r>
          <a:endParaRPr lang="en-US" sz="1100"/>
        </a:p>
      </xdr:txBody>
    </xdr:sp>
    <xdr:clientData/>
  </xdr:twoCellAnchor>
  <xdr:twoCellAnchor>
    <xdr:from>
      <xdr:col>5</xdr:col>
      <xdr:colOff>940989</xdr:colOff>
      <xdr:row>18</xdr:row>
      <xdr:rowOff>164067</xdr:rowOff>
    </xdr:from>
    <xdr:to>
      <xdr:col>6</xdr:col>
      <xdr:colOff>516336</xdr:colOff>
      <xdr:row>20</xdr:row>
      <xdr:rowOff>55005</xdr:rowOff>
    </xdr:to>
    <xdr:pic>
      <xdr:nvPicPr>
        <xdr:cNvPr id="14" name="Picture 21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0489" y="4116942"/>
          <a:ext cx="908847" cy="271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112214</xdr:colOff>
      <xdr:row>2</xdr:row>
      <xdr:rowOff>123825</xdr:rowOff>
    </xdr:from>
    <xdr:to>
      <xdr:col>3</xdr:col>
      <xdr:colOff>2849</xdr:colOff>
      <xdr:row>3</xdr:row>
      <xdr:rowOff>152400</xdr:rowOff>
    </xdr:to>
    <xdr:sp macro="" textlink="">
      <xdr:nvSpPr>
        <xdr:cNvPr id="7" name="Rectangle 6"/>
        <xdr:cNvSpPr/>
      </xdr:nvSpPr>
      <xdr:spPr>
        <a:xfrm>
          <a:off x="112214" y="504825"/>
          <a:ext cx="2891010" cy="219075"/>
        </a:xfrm>
        <a:prstGeom prst="rect">
          <a:avLst/>
        </a:prstGeom>
        <a:solidFill>
          <a:schemeClr val="accent3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i="1" baseline="0">
              <a:solidFill>
                <a:schemeClr val="bg1"/>
              </a:solidFill>
              <a:latin typeface="+mn-lt"/>
              <a:ea typeface="+mn-ea"/>
              <a:cs typeface="+mn-cs"/>
            </a:rPr>
            <a:t>Necessity (MANAGE)</a:t>
          </a:r>
          <a:endParaRPr lang="en-US" sz="1100" b="1" i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4</xdr:row>
          <xdr:rowOff>47625</xdr:rowOff>
        </xdr:from>
        <xdr:to>
          <xdr:col>2</xdr:col>
          <xdr:colOff>247650</xdr:colOff>
          <xdr:row>13</xdr:row>
          <xdr:rowOff>152400</xdr:rowOff>
        </xdr:to>
        <xdr:sp macro="" textlink="">
          <xdr:nvSpPr>
            <xdr:cNvPr id="4097" name="Scroll Bar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3</xdr:col>
      <xdr:colOff>110833</xdr:colOff>
      <xdr:row>2</xdr:row>
      <xdr:rowOff>123825</xdr:rowOff>
    </xdr:from>
    <xdr:to>
      <xdr:col>5</xdr:col>
      <xdr:colOff>304762</xdr:colOff>
      <xdr:row>3</xdr:row>
      <xdr:rowOff>152781</xdr:rowOff>
    </xdr:to>
    <xdr:sp macro="" textlink="">
      <xdr:nvSpPr>
        <xdr:cNvPr id="9" name="Rectangle 8"/>
        <xdr:cNvSpPr/>
      </xdr:nvSpPr>
      <xdr:spPr>
        <a:xfrm>
          <a:off x="3111208" y="504825"/>
          <a:ext cx="2889504" cy="219456"/>
        </a:xfrm>
        <a:prstGeom prst="rect">
          <a:avLst/>
        </a:prstGeom>
        <a:solidFill>
          <a:schemeClr val="accent6"/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i="1" baseline="0">
              <a:solidFill>
                <a:schemeClr val="bg1"/>
              </a:solidFill>
              <a:latin typeface="+mn-lt"/>
              <a:ea typeface="+mn-ea"/>
              <a:cs typeface="+mn-cs"/>
            </a:rPr>
            <a:t>Quality &amp; Personal Leadership (FOCUS)</a:t>
          </a:r>
        </a:p>
      </xdr:txBody>
    </xdr:sp>
    <xdr:clientData/>
  </xdr:twoCellAnchor>
  <xdr:twoCellAnchor>
    <xdr:from>
      <xdr:col>7</xdr:col>
      <xdr:colOff>4323</xdr:colOff>
      <xdr:row>2</xdr:row>
      <xdr:rowOff>123825</xdr:rowOff>
    </xdr:from>
    <xdr:to>
      <xdr:col>8</xdr:col>
      <xdr:colOff>303027</xdr:colOff>
      <xdr:row>3</xdr:row>
      <xdr:rowOff>152781</xdr:rowOff>
    </xdr:to>
    <xdr:sp macro="" textlink="">
      <xdr:nvSpPr>
        <xdr:cNvPr id="6" name="Rectangle 5"/>
        <xdr:cNvSpPr/>
      </xdr:nvSpPr>
      <xdr:spPr>
        <a:xfrm>
          <a:off x="6119373" y="504825"/>
          <a:ext cx="2879979" cy="219456"/>
        </a:xfrm>
        <a:prstGeom prst="rect">
          <a:avLst/>
        </a:prstGeom>
        <a:solidFill>
          <a:schemeClr val="accent2">
            <a:alpha val="60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i="1" baseline="0">
              <a:solidFill>
                <a:schemeClr val="bg1"/>
              </a:solidFill>
              <a:latin typeface="+mn-lt"/>
              <a:ea typeface="+mn-ea"/>
              <a:cs typeface="+mn-cs"/>
            </a:rPr>
            <a:t>Deception (AVOID)</a:t>
          </a:r>
        </a:p>
      </xdr:txBody>
    </xdr:sp>
    <xdr:clientData/>
  </xdr:twoCellAnchor>
  <xdr:twoCellAnchor>
    <xdr:from>
      <xdr:col>10</xdr:col>
      <xdr:colOff>1722</xdr:colOff>
      <xdr:row>2</xdr:row>
      <xdr:rowOff>133350</xdr:rowOff>
    </xdr:from>
    <xdr:to>
      <xdr:col>11</xdr:col>
      <xdr:colOff>300426</xdr:colOff>
      <xdr:row>3</xdr:row>
      <xdr:rowOff>162306</xdr:rowOff>
    </xdr:to>
    <xdr:sp macro="" textlink="">
      <xdr:nvSpPr>
        <xdr:cNvPr id="8" name="Rectangle 7"/>
        <xdr:cNvSpPr/>
      </xdr:nvSpPr>
      <xdr:spPr>
        <a:xfrm>
          <a:off x="9117147" y="514350"/>
          <a:ext cx="2879979" cy="219456"/>
        </a:xfrm>
        <a:prstGeom prst="rect">
          <a:avLst/>
        </a:prstGeom>
        <a:solidFill>
          <a:schemeClr val="accent2">
            <a:lumMod val="75000"/>
          </a:schemeClr>
        </a:solidFill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i="1">
              <a:solidFill>
                <a:schemeClr val="bg1"/>
              </a:solidFill>
              <a:latin typeface="+mn-lt"/>
              <a:ea typeface="+mn-ea"/>
              <a:cs typeface="+mn-cs"/>
            </a:rPr>
            <a:t>Waste (AVOID)</a:t>
          </a:r>
        </a:p>
      </xdr:txBody>
    </xdr:sp>
    <xdr:clientData/>
  </xdr:twoCellAnchor>
  <xdr:twoCellAnchor>
    <xdr:from>
      <xdr:col>4</xdr:col>
      <xdr:colOff>1143000</xdr:colOff>
      <xdr:row>15</xdr:row>
      <xdr:rowOff>114300</xdr:rowOff>
    </xdr:from>
    <xdr:to>
      <xdr:col>5</xdr:col>
      <xdr:colOff>285750</xdr:colOff>
      <xdr:row>17</xdr:row>
      <xdr:rowOff>9526</xdr:rowOff>
    </xdr:to>
    <xdr:sp macro="[0]!LoadForm" textlink="">
      <xdr:nvSpPr>
        <xdr:cNvPr id="25" name="Rounded Rectangle 24"/>
        <xdr:cNvSpPr/>
      </xdr:nvSpPr>
      <xdr:spPr>
        <a:xfrm>
          <a:off x="4257675" y="2971800"/>
          <a:ext cx="1724025" cy="276226"/>
        </a:xfrm>
        <a:prstGeom prst="roundRect">
          <a:avLst/>
        </a:prstGeom>
        <a:solidFill>
          <a:schemeClr val="bg1">
            <a:lumMod val="95000"/>
          </a:schemeClr>
        </a:solidFill>
        <a:ln w="635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1" i="1">
              <a:solidFill>
                <a:sysClr val="windowText" lastClr="000000"/>
              </a:solidFill>
            </a:rPr>
            <a:t>Add a New Task</a:t>
          </a:r>
        </a:p>
      </xdr:txBody>
    </xdr:sp>
    <xdr:clientData/>
  </xdr:twoCellAnchor>
  <xdr:twoCellAnchor>
    <xdr:from>
      <xdr:col>7</xdr:col>
      <xdr:colOff>19050</xdr:colOff>
      <xdr:row>15</xdr:row>
      <xdr:rowOff>114300</xdr:rowOff>
    </xdr:from>
    <xdr:to>
      <xdr:col>7</xdr:col>
      <xdr:colOff>2030730</xdr:colOff>
      <xdr:row>17</xdr:row>
      <xdr:rowOff>7620</xdr:rowOff>
    </xdr:to>
    <xdr:sp macro="[0]!DeleteCompleted" textlink="">
      <xdr:nvSpPr>
        <xdr:cNvPr id="26" name="Rounded Rectangle 25"/>
        <xdr:cNvSpPr/>
      </xdr:nvSpPr>
      <xdr:spPr>
        <a:xfrm>
          <a:off x="6134100" y="2971800"/>
          <a:ext cx="2011680" cy="274320"/>
        </a:xfrm>
        <a:prstGeom prst="roundRect">
          <a:avLst/>
        </a:prstGeom>
        <a:solidFill>
          <a:schemeClr val="bg1">
            <a:lumMod val="95000"/>
          </a:schemeClr>
        </a:solidFill>
        <a:ln w="635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 b="1" i="1">
              <a:solidFill>
                <a:sysClr val="windowText" lastClr="000000"/>
              </a:solidFill>
            </a:rPr>
            <a:t>Remove Completed Tasks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4</xdr:row>
          <xdr:rowOff>47625</xdr:rowOff>
        </xdr:from>
        <xdr:to>
          <xdr:col>5</xdr:col>
          <xdr:colOff>266700</xdr:colOff>
          <xdr:row>13</xdr:row>
          <xdr:rowOff>152400</xdr:rowOff>
        </xdr:to>
        <xdr:sp macro="" textlink="">
          <xdr:nvSpPr>
            <xdr:cNvPr id="4157" name="Scroll Bar 61" hidden="1">
              <a:extLst>
                <a:ext uri="{63B3BB69-23CF-44E3-9099-C40C66FF867C}">
                  <a14:compatExt spid="_x0000_s41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47625</xdr:rowOff>
        </xdr:from>
        <xdr:to>
          <xdr:col>8</xdr:col>
          <xdr:colOff>266700</xdr:colOff>
          <xdr:row>13</xdr:row>
          <xdr:rowOff>152400</xdr:rowOff>
        </xdr:to>
        <xdr:sp macro="" textlink="">
          <xdr:nvSpPr>
            <xdr:cNvPr id="4160" name="Scroll Bar 64" hidden="1">
              <a:extLst>
                <a:ext uri="{63B3BB69-23CF-44E3-9099-C40C66FF867C}">
                  <a14:compatExt spid="_x0000_s41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47625</xdr:rowOff>
        </xdr:from>
        <xdr:to>
          <xdr:col>11</xdr:col>
          <xdr:colOff>266700</xdr:colOff>
          <xdr:row>13</xdr:row>
          <xdr:rowOff>152400</xdr:rowOff>
        </xdr:to>
        <xdr:sp macro="" textlink="">
          <xdr:nvSpPr>
            <xdr:cNvPr id="4161" name="Scroll Bar 65" hidden="1">
              <a:extLst>
                <a:ext uri="{63B3BB69-23CF-44E3-9099-C40C66FF867C}">
                  <a14:compatExt spid="_x0000_s41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300419</xdr:colOff>
      <xdr:row>1</xdr:row>
      <xdr:rowOff>85725</xdr:rowOff>
    </xdr:from>
    <xdr:to>
      <xdr:col>2</xdr:col>
      <xdr:colOff>5144</xdr:colOff>
      <xdr:row>2</xdr:row>
      <xdr:rowOff>85725</xdr:rowOff>
    </xdr:to>
    <xdr:sp macro="" textlink="">
      <xdr:nvSpPr>
        <xdr:cNvPr id="2" name="Rectangle 1"/>
        <xdr:cNvSpPr/>
      </xdr:nvSpPr>
      <xdr:spPr>
        <a:xfrm>
          <a:off x="414719" y="276225"/>
          <a:ext cx="2286000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 i="1">
              <a:solidFill>
                <a:sysClr val="windowText" lastClr="000000"/>
              </a:solidFill>
            </a:rPr>
            <a:t>Important &amp;</a:t>
          </a:r>
          <a:r>
            <a:rPr lang="en-GB" sz="1100" b="1" i="1" baseline="0">
              <a:solidFill>
                <a:sysClr val="windowText" lastClr="000000"/>
              </a:solidFill>
            </a:rPr>
            <a:t> Urgent</a:t>
          </a:r>
          <a:endParaRPr lang="en-GB" sz="11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298285</xdr:colOff>
      <xdr:row>1</xdr:row>
      <xdr:rowOff>85725</xdr:rowOff>
    </xdr:from>
    <xdr:to>
      <xdr:col>5</xdr:col>
      <xdr:colOff>3010</xdr:colOff>
      <xdr:row>2</xdr:row>
      <xdr:rowOff>85725</xdr:rowOff>
    </xdr:to>
    <xdr:sp macro="" textlink="">
      <xdr:nvSpPr>
        <xdr:cNvPr id="13" name="Rectangle 12"/>
        <xdr:cNvSpPr/>
      </xdr:nvSpPr>
      <xdr:spPr>
        <a:xfrm>
          <a:off x="3412960" y="276225"/>
          <a:ext cx="2286000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 i="1">
              <a:solidFill>
                <a:sysClr val="windowText" lastClr="000000"/>
              </a:solidFill>
            </a:rPr>
            <a:t>Important &amp;</a:t>
          </a:r>
          <a:r>
            <a:rPr lang="en-GB" sz="1100" b="1" i="1" baseline="0">
              <a:solidFill>
                <a:sysClr val="windowText" lastClr="000000"/>
              </a:solidFill>
            </a:rPr>
            <a:t> Not Urgent</a:t>
          </a:r>
          <a:endParaRPr lang="en-GB" sz="11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301312</xdr:colOff>
      <xdr:row>1</xdr:row>
      <xdr:rowOff>85725</xdr:rowOff>
    </xdr:from>
    <xdr:to>
      <xdr:col>8</xdr:col>
      <xdr:colOff>6037</xdr:colOff>
      <xdr:row>2</xdr:row>
      <xdr:rowOff>85725</xdr:rowOff>
    </xdr:to>
    <xdr:sp macro="" textlink="">
      <xdr:nvSpPr>
        <xdr:cNvPr id="14" name="Rectangle 13"/>
        <xdr:cNvSpPr/>
      </xdr:nvSpPr>
      <xdr:spPr>
        <a:xfrm>
          <a:off x="6416362" y="276225"/>
          <a:ext cx="2286000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 i="1">
              <a:solidFill>
                <a:sysClr val="windowText" lastClr="000000"/>
              </a:solidFill>
            </a:rPr>
            <a:t>Not Important &amp;</a:t>
          </a:r>
          <a:r>
            <a:rPr lang="en-GB" sz="1100" b="1" i="1" baseline="0">
              <a:solidFill>
                <a:sysClr val="windowText" lastClr="000000"/>
              </a:solidFill>
            </a:rPr>
            <a:t> Urgent</a:t>
          </a:r>
          <a:endParaRPr lang="en-GB" sz="11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298711</xdr:colOff>
      <xdr:row>1</xdr:row>
      <xdr:rowOff>85725</xdr:rowOff>
    </xdr:from>
    <xdr:to>
      <xdr:col>11</xdr:col>
      <xdr:colOff>3436</xdr:colOff>
      <xdr:row>2</xdr:row>
      <xdr:rowOff>85725</xdr:rowOff>
    </xdr:to>
    <xdr:sp macro="" textlink="">
      <xdr:nvSpPr>
        <xdr:cNvPr id="15" name="Rectangle 14"/>
        <xdr:cNvSpPr/>
      </xdr:nvSpPr>
      <xdr:spPr>
        <a:xfrm>
          <a:off x="9414136" y="276225"/>
          <a:ext cx="2286000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 i="1">
              <a:solidFill>
                <a:sysClr val="windowText" lastClr="000000"/>
              </a:solidFill>
            </a:rPr>
            <a:t>Not Important &amp;</a:t>
          </a:r>
          <a:r>
            <a:rPr lang="en-GB" sz="1100" b="1" i="1" baseline="0">
              <a:solidFill>
                <a:sysClr val="windowText" lastClr="000000"/>
              </a:solidFill>
            </a:rPr>
            <a:t> Not Urgent</a:t>
          </a:r>
          <a:endParaRPr lang="en-GB" sz="1100" b="1" i="1">
            <a:solidFill>
              <a:sysClr val="windowText" lastClr="00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2" name="Table2" displayName="Table2" ref="B2:E32" totalsRowShown="0" headerRowDxfId="25" headerRowBorderDxfId="24" tableBorderDxfId="23" totalsRowBorderDxfId="22">
  <autoFilter ref="B2:E32"/>
  <tableColumns count="4">
    <tableColumn id="1" name="Activities" dataDxfId="21"/>
    <tableColumn id="2" name="Important" dataDxfId="20"/>
    <tableColumn id="3" name="Urgent" dataDxfId="19"/>
    <tableColumn id="4" name="Status" dataDxfId="1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e24" displayName="Table24" ref="B2:E52" totalsRowShown="0" headerRowDxfId="17" headerRowBorderDxfId="16" tableBorderDxfId="15" totalsRowBorderDxfId="14">
  <autoFilter ref="B2:E52"/>
  <tableColumns count="4">
    <tableColumn id="1" name="Activities" dataDxfId="13">
      <calculatedColumnFormula>IFERROR(Table2[[#This Row],[Activities]],"")</calculatedColumnFormula>
    </tableColumn>
    <tableColumn id="2" name="Important" dataDxfId="12">
      <calculatedColumnFormula>IFERROR(Table2[[#This Row],[Important]],"")</calculatedColumnFormula>
    </tableColumn>
    <tableColumn id="3" name="Urgent" dataDxfId="11">
      <calculatedColumnFormula>IFERROR(Table2[[#This Row],[Urgent]],"")</calculatedColumnFormula>
    </tableColumn>
    <tableColumn id="4" name="Status" dataDxfId="10">
      <calculatedColumnFormula>IF(IFERROR(Table2[[#This Row],[Status]],"")=0,"",IFERROR(Table2[[#This Row],[Status]],""))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StatusOptions" displayName="StatusOptions" ref="A12:A15" totalsRowShown="0">
  <autoFilter ref="A12:A15"/>
  <tableColumns count="1">
    <tableColumn id="1" name="Status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2:K32"/>
  <sheetViews>
    <sheetView showGridLines="0" zoomScaleNormal="100" workbookViewId="0">
      <selection activeCell="D10" sqref="D10"/>
    </sheetView>
  </sheetViews>
  <sheetFormatPr defaultRowHeight="14.25"/>
  <cols>
    <col min="1" max="1" width="6.75" customWidth="1"/>
    <col min="2" max="2" width="48.625" customWidth="1"/>
    <col min="3" max="5" width="18.75" customWidth="1"/>
    <col min="6" max="6" width="20" customWidth="1"/>
  </cols>
  <sheetData>
    <row r="2" spans="2:5">
      <c r="B2" s="10" t="s">
        <v>0</v>
      </c>
      <c r="C2" s="11" t="s">
        <v>1</v>
      </c>
      <c r="D2" s="11" t="s">
        <v>2</v>
      </c>
      <c r="E2" s="12" t="s">
        <v>12</v>
      </c>
    </row>
    <row r="3" spans="2:5">
      <c r="B3" s="7" t="s">
        <v>17</v>
      </c>
      <c r="C3" s="8" t="s">
        <v>3</v>
      </c>
      <c r="D3" s="8" t="s">
        <v>3</v>
      </c>
      <c r="E3" s="13"/>
    </row>
    <row r="4" spans="2:5">
      <c r="B4" s="7" t="s">
        <v>18</v>
      </c>
      <c r="C4" s="8" t="s">
        <v>3</v>
      </c>
      <c r="D4" s="8" t="s">
        <v>3</v>
      </c>
      <c r="E4" s="13"/>
    </row>
    <row r="5" spans="2:5">
      <c r="B5" s="7" t="s">
        <v>19</v>
      </c>
      <c r="C5" s="8" t="s">
        <v>4</v>
      </c>
      <c r="D5" s="8" t="s">
        <v>3</v>
      </c>
      <c r="E5" s="9"/>
    </row>
    <row r="6" spans="2:5">
      <c r="B6" s="7" t="s">
        <v>20</v>
      </c>
      <c r="C6" s="8" t="s">
        <v>4</v>
      </c>
      <c r="D6" s="8" t="s">
        <v>3</v>
      </c>
      <c r="E6" s="13"/>
    </row>
    <row r="7" spans="2:5">
      <c r="B7" s="7" t="s">
        <v>21</v>
      </c>
      <c r="C7" s="8" t="s">
        <v>3</v>
      </c>
      <c r="D7" s="8" t="s">
        <v>4</v>
      </c>
      <c r="E7" s="13"/>
    </row>
    <row r="8" spans="2:5">
      <c r="B8" s="7" t="s">
        <v>22</v>
      </c>
      <c r="C8" s="8" t="s">
        <v>3</v>
      </c>
      <c r="D8" s="8" t="s">
        <v>4</v>
      </c>
      <c r="E8" s="13"/>
    </row>
    <row r="9" spans="2:5">
      <c r="B9" s="7" t="s">
        <v>23</v>
      </c>
      <c r="C9" s="8" t="s">
        <v>4</v>
      </c>
      <c r="D9" s="8" t="s">
        <v>4</v>
      </c>
      <c r="E9" s="13"/>
    </row>
    <row r="10" spans="2:5">
      <c r="B10" s="7" t="s">
        <v>24</v>
      </c>
      <c r="C10" s="8" t="s">
        <v>4</v>
      </c>
      <c r="D10" s="8" t="s">
        <v>4</v>
      </c>
      <c r="E10" s="27"/>
    </row>
    <row r="11" spans="2:5">
      <c r="B11" s="7"/>
      <c r="C11" s="8"/>
      <c r="D11" s="8"/>
      <c r="E11" s="27"/>
    </row>
    <row r="12" spans="2:5">
      <c r="B12" s="7"/>
      <c r="C12" s="8"/>
      <c r="D12" s="8"/>
      <c r="E12" s="27"/>
    </row>
    <row r="13" spans="2:5">
      <c r="B13" s="7"/>
      <c r="C13" s="8"/>
      <c r="D13" s="8"/>
      <c r="E13" s="27"/>
    </row>
    <row r="14" spans="2:5">
      <c r="B14" s="7"/>
      <c r="C14" s="8"/>
      <c r="D14" s="8"/>
      <c r="E14" s="27"/>
    </row>
    <row r="15" spans="2:5">
      <c r="B15" s="7"/>
      <c r="C15" s="8"/>
      <c r="D15" s="8"/>
      <c r="E15" s="27"/>
    </row>
    <row r="16" spans="2:5">
      <c r="B16" s="7"/>
      <c r="C16" s="8"/>
      <c r="D16" s="8"/>
      <c r="E16" s="27"/>
    </row>
    <row r="17" spans="2:11" ht="19.5" customHeight="1">
      <c r="B17" s="7"/>
      <c r="C17" s="8"/>
      <c r="D17" s="8"/>
      <c r="E17" s="27"/>
    </row>
    <row r="18" spans="2:11" ht="51">
      <c r="B18" s="7"/>
      <c r="C18" s="8"/>
      <c r="D18" s="8"/>
      <c r="E18" s="27"/>
      <c r="G18" s="24" t="s">
        <v>25</v>
      </c>
      <c r="H18" s="25"/>
      <c r="I18" s="25"/>
      <c r="J18" s="25"/>
      <c r="K18" s="25"/>
    </row>
    <row r="19" spans="2:11">
      <c r="B19" s="7"/>
      <c r="C19" s="8"/>
      <c r="D19" s="8"/>
      <c r="E19" s="27"/>
    </row>
    <row r="20" spans="2:11">
      <c r="B20" s="7"/>
      <c r="C20" s="8"/>
      <c r="D20" s="8"/>
      <c r="E20" s="27"/>
    </row>
    <row r="21" spans="2:11">
      <c r="B21" s="7"/>
      <c r="C21" s="8"/>
      <c r="D21" s="8"/>
      <c r="E21" s="27"/>
      <c r="G21" s="24"/>
      <c r="H21" s="23"/>
      <c r="I21" s="23"/>
      <c r="J21" s="23"/>
      <c r="K21" s="23"/>
    </row>
    <row r="22" spans="2:11">
      <c r="B22" s="7"/>
      <c r="C22" s="8"/>
      <c r="D22" s="8"/>
      <c r="E22" s="27"/>
    </row>
    <row r="23" spans="2:11">
      <c r="B23" s="7"/>
      <c r="C23" s="8"/>
      <c r="D23" s="8"/>
      <c r="E23" s="27"/>
    </row>
    <row r="24" spans="2:11">
      <c r="B24" s="7"/>
      <c r="C24" s="8"/>
      <c r="D24" s="8"/>
      <c r="E24" s="27"/>
    </row>
    <row r="25" spans="2:11">
      <c r="B25" s="7"/>
      <c r="C25" s="8"/>
      <c r="D25" s="8"/>
      <c r="E25" s="27"/>
    </row>
    <row r="26" spans="2:11">
      <c r="B26" s="7"/>
      <c r="C26" s="8"/>
      <c r="D26" s="8"/>
      <c r="E26" s="27"/>
    </row>
    <row r="27" spans="2:11">
      <c r="B27" s="7"/>
      <c r="C27" s="8"/>
      <c r="D27" s="8"/>
      <c r="E27" s="27"/>
    </row>
    <row r="28" spans="2:11">
      <c r="B28" s="7"/>
      <c r="C28" s="8"/>
      <c r="D28" s="8"/>
      <c r="E28" s="27"/>
    </row>
    <row r="29" spans="2:11">
      <c r="B29" s="7"/>
      <c r="C29" s="8"/>
      <c r="D29" s="8"/>
      <c r="E29" s="27"/>
    </row>
    <row r="30" spans="2:11">
      <c r="B30" s="7"/>
      <c r="C30" s="8"/>
      <c r="D30" s="8"/>
      <c r="E30" s="27"/>
    </row>
    <row r="31" spans="2:11">
      <c r="B31" s="7"/>
      <c r="C31" s="8"/>
      <c r="D31" s="8"/>
      <c r="E31" s="27"/>
    </row>
    <row r="32" spans="2:11">
      <c r="B32" s="7"/>
      <c r="C32" s="8"/>
      <c r="D32" s="8"/>
      <c r="E32" s="27"/>
    </row>
  </sheetData>
  <conditionalFormatting sqref="B3:E32">
    <cfRule type="expression" dxfId="9" priority="7">
      <formula>$E3="Completed"</formula>
    </cfRule>
  </conditionalFormatting>
  <dataValidations count="1">
    <dataValidation type="list" allowBlank="1" showInputMessage="1" showErrorMessage="1" sqref="E3:E32">
      <formula1>INDIRECT("StatusOptions[#Data]")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5122" r:id="rId4" name="ShockwaveFlash1">
          <controlPr defaultSize="0" autoLine="0" r:id="rId5">
            <anchor moveWithCells="1">
              <from>
                <xdr:col>6</xdr:col>
                <xdr:colOff>0</xdr:colOff>
                <xdr:row>7</xdr:row>
                <xdr:rowOff>123825</xdr:rowOff>
              </from>
              <to>
                <xdr:col>12</xdr:col>
                <xdr:colOff>38100</xdr:colOff>
                <xdr:row>17</xdr:row>
                <xdr:rowOff>638175</xdr:rowOff>
              </to>
            </anchor>
          </controlPr>
        </control>
      </mc:Choice>
      <mc:Fallback>
        <control shapeId="5122" r:id="rId4" name="ShockwaveFlash1"/>
      </mc:Fallback>
    </mc:AlternateContent>
  </controls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Sheet2!$B$2:$B$3</xm:f>
          </x14:formula1>
          <xm:sqref>C3:D32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E52"/>
  <sheetViews>
    <sheetView workbookViewId="0">
      <selection activeCell="B3" sqref="B3"/>
    </sheetView>
  </sheetViews>
  <sheetFormatPr defaultRowHeight="14.25"/>
  <cols>
    <col min="2" max="2" width="48.625" customWidth="1"/>
    <col min="3" max="4" width="13.25" customWidth="1"/>
    <col min="5" max="5" width="20" customWidth="1"/>
  </cols>
  <sheetData>
    <row r="2" spans="2:5">
      <c r="B2" s="10" t="s">
        <v>0</v>
      </c>
      <c r="C2" s="11" t="s">
        <v>1</v>
      </c>
      <c r="D2" s="11" t="s">
        <v>2</v>
      </c>
      <c r="E2" s="12" t="s">
        <v>12</v>
      </c>
    </row>
    <row r="3" spans="2:5">
      <c r="B3" s="5" t="str">
        <f>IFERROR(Table2[[#This Row],[Activities]],"")</f>
        <v>Task 1</v>
      </c>
      <c r="C3" s="1" t="str">
        <f>IFERROR(Table2[[#This Row],[Important]],"")</f>
        <v>Yes</v>
      </c>
      <c r="D3" s="1" t="str">
        <f>IFERROR(Table2[[#This Row],[Urgent]],"")</f>
        <v>Yes</v>
      </c>
      <c r="E3" s="6" t="str">
        <f>IF(IFERROR(Table2[[#This Row],[Status]],"")=0,"",IFERROR(Table2[[#This Row],[Status]],""))</f>
        <v/>
      </c>
    </row>
    <row r="4" spans="2:5">
      <c r="B4" s="5" t="str">
        <f>IFERROR(Table2[[#This Row],[Activities]],"")</f>
        <v>Task 2</v>
      </c>
      <c r="C4" s="1" t="str">
        <f>IFERROR(Table2[[#This Row],[Important]],"")</f>
        <v>Yes</v>
      </c>
      <c r="D4" s="1" t="str">
        <f>IFERROR(Table2[[#This Row],[Urgent]],"")</f>
        <v>Yes</v>
      </c>
      <c r="E4" s="6" t="str">
        <f>IF(IFERROR(Table2[[#This Row],[Status]],"")=0,"",IFERROR(Table2[[#This Row],[Status]],""))</f>
        <v/>
      </c>
    </row>
    <row r="5" spans="2:5">
      <c r="B5" s="5" t="str">
        <f>IFERROR(Table2[[#This Row],[Activities]],"")</f>
        <v>Task 3</v>
      </c>
      <c r="C5" s="1" t="str">
        <f>IFERROR(Table2[[#This Row],[Important]],"")</f>
        <v>No</v>
      </c>
      <c r="D5" s="1" t="str">
        <f>IFERROR(Table2[[#This Row],[Urgent]],"")</f>
        <v>Yes</v>
      </c>
      <c r="E5" s="6" t="str">
        <f>IF(IFERROR(Table2[[#This Row],[Status]],"")=0,"",IFERROR(Table2[[#This Row],[Status]],""))</f>
        <v/>
      </c>
    </row>
    <row r="6" spans="2:5">
      <c r="B6" s="5" t="str">
        <f>IFERROR(Table2[[#This Row],[Activities]],"")</f>
        <v>Task 4</v>
      </c>
      <c r="C6" s="1" t="str">
        <f>IFERROR(Table2[[#This Row],[Important]],"")</f>
        <v>No</v>
      </c>
      <c r="D6" s="1" t="str">
        <f>IFERROR(Table2[[#This Row],[Urgent]],"")</f>
        <v>Yes</v>
      </c>
      <c r="E6" s="6" t="str">
        <f>IF(IFERROR(Table2[[#This Row],[Status]],"")=0,"",IFERROR(Table2[[#This Row],[Status]],""))</f>
        <v/>
      </c>
    </row>
    <row r="7" spans="2:5">
      <c r="B7" s="5" t="str">
        <f>IFERROR(Table2[[#This Row],[Activities]],"")</f>
        <v>Task 5</v>
      </c>
      <c r="C7" s="1" t="str">
        <f>IFERROR(Table2[[#This Row],[Important]],"")</f>
        <v>Yes</v>
      </c>
      <c r="D7" s="1" t="str">
        <f>IFERROR(Table2[[#This Row],[Urgent]],"")</f>
        <v>No</v>
      </c>
      <c r="E7" s="6" t="str">
        <f>IF(IFERROR(Table2[[#This Row],[Status]],"")=0,"",IFERROR(Table2[[#This Row],[Status]],""))</f>
        <v/>
      </c>
    </row>
    <row r="8" spans="2:5">
      <c r="B8" s="5" t="str">
        <f>IFERROR(Table2[[#This Row],[Activities]],"")</f>
        <v>Task 6</v>
      </c>
      <c r="C8" s="1" t="str">
        <f>IFERROR(Table2[[#This Row],[Important]],"")</f>
        <v>Yes</v>
      </c>
      <c r="D8" s="1" t="str">
        <f>IFERROR(Table2[[#This Row],[Urgent]],"")</f>
        <v>No</v>
      </c>
      <c r="E8" s="6" t="str">
        <f>IF(IFERROR(Table2[[#This Row],[Status]],"")=0,"",IFERROR(Table2[[#This Row],[Status]],""))</f>
        <v/>
      </c>
    </row>
    <row r="9" spans="2:5">
      <c r="B9" s="5" t="str">
        <f>IFERROR(Table2[[#This Row],[Activities]],"")</f>
        <v>Task 7</v>
      </c>
      <c r="C9" s="1" t="str">
        <f>IFERROR(Table2[[#This Row],[Important]],"")</f>
        <v>No</v>
      </c>
      <c r="D9" s="1" t="str">
        <f>IFERROR(Table2[[#This Row],[Urgent]],"")</f>
        <v>No</v>
      </c>
      <c r="E9" s="6" t="str">
        <f>IF(IFERROR(Table2[[#This Row],[Status]],"")=0,"",IFERROR(Table2[[#This Row],[Status]],""))</f>
        <v/>
      </c>
    </row>
    <row r="10" spans="2:5">
      <c r="B10" s="5" t="str">
        <f>IFERROR(Table2[[#This Row],[Activities]],"")</f>
        <v>Task 8</v>
      </c>
      <c r="C10" s="1" t="str">
        <f>IFERROR(Table2[[#This Row],[Important]],"")</f>
        <v>No</v>
      </c>
      <c r="D10" s="1" t="str">
        <f>IFERROR(Table2[[#This Row],[Urgent]],"")</f>
        <v>No</v>
      </c>
      <c r="E10" s="6" t="str">
        <f>IF(IFERROR(Table2[[#This Row],[Status]],"")=0,"",IFERROR(Table2[[#This Row],[Status]],""))</f>
        <v/>
      </c>
    </row>
    <row r="11" spans="2:5">
      <c r="B11" s="5">
        <f>IFERROR(Table2[[#This Row],[Activities]],"")</f>
        <v>0</v>
      </c>
      <c r="C11" s="1">
        <f>IFERROR(Table2[[#This Row],[Important]],"")</f>
        <v>0</v>
      </c>
      <c r="D11" s="1">
        <f>IFERROR(Table2[[#This Row],[Urgent]],"")</f>
        <v>0</v>
      </c>
      <c r="E11" s="6" t="str">
        <f>IF(IFERROR(Table2[[#This Row],[Status]],"")=0,"",IFERROR(Table2[[#This Row],[Status]],""))</f>
        <v/>
      </c>
    </row>
    <row r="12" spans="2:5">
      <c r="B12" s="5">
        <f>IFERROR(Table2[[#This Row],[Activities]],"")</f>
        <v>0</v>
      </c>
      <c r="C12" s="1">
        <f>IFERROR(Table2[[#This Row],[Important]],"")</f>
        <v>0</v>
      </c>
      <c r="D12" s="1">
        <f>IFERROR(Table2[[#This Row],[Urgent]],"")</f>
        <v>0</v>
      </c>
      <c r="E12" s="6" t="str">
        <f>IF(IFERROR(Table2[[#This Row],[Status]],"")=0,"",IFERROR(Table2[[#This Row],[Status]],""))</f>
        <v/>
      </c>
    </row>
    <row r="13" spans="2:5">
      <c r="B13" s="5">
        <f>IFERROR(Table2[[#This Row],[Activities]],"")</f>
        <v>0</v>
      </c>
      <c r="C13" s="1">
        <f>IFERROR(Table2[[#This Row],[Important]],"")</f>
        <v>0</v>
      </c>
      <c r="D13" s="1">
        <f>IFERROR(Table2[[#This Row],[Urgent]],"")</f>
        <v>0</v>
      </c>
      <c r="E13" s="6" t="str">
        <f>IF(IFERROR(Table2[[#This Row],[Status]],"")=0,"",IFERROR(Table2[[#This Row],[Status]],""))</f>
        <v/>
      </c>
    </row>
    <row r="14" spans="2:5">
      <c r="B14" s="5">
        <f>IFERROR(Table2[[#This Row],[Activities]],"")</f>
        <v>0</v>
      </c>
      <c r="C14" s="1">
        <f>IFERROR(Table2[[#This Row],[Important]],"")</f>
        <v>0</v>
      </c>
      <c r="D14" s="1">
        <f>IFERROR(Table2[[#This Row],[Urgent]],"")</f>
        <v>0</v>
      </c>
      <c r="E14" s="6" t="str">
        <f>IF(IFERROR(Table2[[#This Row],[Status]],"")=0,"",IFERROR(Table2[[#This Row],[Status]],""))</f>
        <v/>
      </c>
    </row>
    <row r="15" spans="2:5">
      <c r="B15" s="5">
        <f>IFERROR(Table2[[#This Row],[Activities]],"")</f>
        <v>0</v>
      </c>
      <c r="C15" s="1">
        <f>IFERROR(Table2[[#This Row],[Important]],"")</f>
        <v>0</v>
      </c>
      <c r="D15" s="1">
        <f>IFERROR(Table2[[#This Row],[Urgent]],"")</f>
        <v>0</v>
      </c>
      <c r="E15" s="6" t="str">
        <f>IF(IFERROR(Table2[[#This Row],[Status]],"")=0,"",IFERROR(Table2[[#This Row],[Status]],""))</f>
        <v/>
      </c>
    </row>
    <row r="16" spans="2:5">
      <c r="B16" s="5">
        <f>IFERROR(Table2[[#This Row],[Activities]],"")</f>
        <v>0</v>
      </c>
      <c r="C16" s="1">
        <f>IFERROR(Table2[[#This Row],[Important]],"")</f>
        <v>0</v>
      </c>
      <c r="D16" s="1">
        <f>IFERROR(Table2[[#This Row],[Urgent]],"")</f>
        <v>0</v>
      </c>
      <c r="E16" s="6" t="str">
        <f>IF(IFERROR(Table2[[#This Row],[Status]],"")=0,"",IFERROR(Table2[[#This Row],[Status]],""))</f>
        <v/>
      </c>
    </row>
    <row r="17" spans="2:5">
      <c r="B17" s="5">
        <f>IFERROR(Table2[[#This Row],[Activities]],"")</f>
        <v>0</v>
      </c>
      <c r="C17" s="1">
        <f>IFERROR(Table2[[#This Row],[Important]],"")</f>
        <v>0</v>
      </c>
      <c r="D17" s="1">
        <f>IFERROR(Table2[[#This Row],[Urgent]],"")</f>
        <v>0</v>
      </c>
      <c r="E17" s="6" t="str">
        <f>IF(IFERROR(Table2[[#This Row],[Status]],"")=0,"",IFERROR(Table2[[#This Row],[Status]],""))</f>
        <v/>
      </c>
    </row>
    <row r="18" spans="2:5">
      <c r="B18" s="5">
        <f>IFERROR(Table2[[#This Row],[Activities]],"")</f>
        <v>0</v>
      </c>
      <c r="C18" s="1">
        <f>IFERROR(Table2[[#This Row],[Important]],"")</f>
        <v>0</v>
      </c>
      <c r="D18" s="1">
        <f>IFERROR(Table2[[#This Row],[Urgent]],"")</f>
        <v>0</v>
      </c>
      <c r="E18" s="6" t="str">
        <f>IF(IFERROR(Table2[[#This Row],[Status]],"")=0,"",IFERROR(Table2[[#This Row],[Status]],""))</f>
        <v/>
      </c>
    </row>
    <row r="19" spans="2:5">
      <c r="B19" s="5">
        <f>IFERROR(Table2[[#This Row],[Activities]],"")</f>
        <v>0</v>
      </c>
      <c r="C19" s="1">
        <f>IFERROR(Table2[[#This Row],[Important]],"")</f>
        <v>0</v>
      </c>
      <c r="D19" s="1">
        <f>IFERROR(Table2[[#This Row],[Urgent]],"")</f>
        <v>0</v>
      </c>
      <c r="E19" s="6" t="str">
        <f>IF(IFERROR(Table2[[#This Row],[Status]],"")=0,"",IFERROR(Table2[[#This Row],[Status]],""))</f>
        <v/>
      </c>
    </row>
    <row r="20" spans="2:5">
      <c r="B20" s="5">
        <f>IFERROR(Table2[[#This Row],[Activities]],"")</f>
        <v>0</v>
      </c>
      <c r="C20" s="1">
        <f>IFERROR(Table2[[#This Row],[Important]],"")</f>
        <v>0</v>
      </c>
      <c r="D20" s="1">
        <f>IFERROR(Table2[[#This Row],[Urgent]],"")</f>
        <v>0</v>
      </c>
      <c r="E20" s="6" t="str">
        <f>IF(IFERROR(Table2[[#This Row],[Status]],"")=0,"",IFERROR(Table2[[#This Row],[Status]],""))</f>
        <v/>
      </c>
    </row>
    <row r="21" spans="2:5">
      <c r="B21" s="5">
        <f>IFERROR(Table2[[#This Row],[Activities]],"")</f>
        <v>0</v>
      </c>
      <c r="C21" s="1">
        <f>IFERROR(Table2[[#This Row],[Important]],"")</f>
        <v>0</v>
      </c>
      <c r="D21" s="1">
        <f>IFERROR(Table2[[#This Row],[Urgent]],"")</f>
        <v>0</v>
      </c>
      <c r="E21" s="6" t="str">
        <f>IF(IFERROR(Table2[[#This Row],[Status]],"")=0,"",IFERROR(Table2[[#This Row],[Status]],""))</f>
        <v/>
      </c>
    </row>
    <row r="22" spans="2:5">
      <c r="B22" s="5">
        <f>IFERROR(Table2[[#This Row],[Activities]],"")</f>
        <v>0</v>
      </c>
      <c r="C22" s="1">
        <f>IFERROR(Table2[[#This Row],[Important]],"")</f>
        <v>0</v>
      </c>
      <c r="D22" s="1">
        <f>IFERROR(Table2[[#This Row],[Urgent]],"")</f>
        <v>0</v>
      </c>
      <c r="E22" s="6" t="str">
        <f>IF(IFERROR(Table2[[#This Row],[Status]],"")=0,"",IFERROR(Table2[[#This Row],[Status]],""))</f>
        <v/>
      </c>
    </row>
    <row r="23" spans="2:5">
      <c r="B23" s="5">
        <f>IFERROR(Table2[[#This Row],[Activities]],"")</f>
        <v>0</v>
      </c>
      <c r="C23" s="1">
        <f>IFERROR(Table2[[#This Row],[Important]],"")</f>
        <v>0</v>
      </c>
      <c r="D23" s="1">
        <f>IFERROR(Table2[[#This Row],[Urgent]],"")</f>
        <v>0</v>
      </c>
      <c r="E23" s="6" t="str">
        <f>IF(IFERROR(Table2[[#This Row],[Status]],"")=0,"",IFERROR(Table2[[#This Row],[Status]],""))</f>
        <v/>
      </c>
    </row>
    <row r="24" spans="2:5">
      <c r="B24" s="5">
        <f>IFERROR(Table2[[#This Row],[Activities]],"")</f>
        <v>0</v>
      </c>
      <c r="C24" s="1">
        <f>IFERROR(Table2[[#This Row],[Important]],"")</f>
        <v>0</v>
      </c>
      <c r="D24" s="1">
        <f>IFERROR(Table2[[#This Row],[Urgent]],"")</f>
        <v>0</v>
      </c>
      <c r="E24" s="6" t="str">
        <f>IF(IFERROR(Table2[[#This Row],[Status]],"")=0,"",IFERROR(Table2[[#This Row],[Status]],""))</f>
        <v/>
      </c>
    </row>
    <row r="25" spans="2:5">
      <c r="B25" s="5">
        <f>IFERROR(Table2[[#This Row],[Activities]],"")</f>
        <v>0</v>
      </c>
      <c r="C25" s="1">
        <f>IFERROR(Table2[[#This Row],[Important]],"")</f>
        <v>0</v>
      </c>
      <c r="D25" s="1">
        <f>IFERROR(Table2[[#This Row],[Urgent]],"")</f>
        <v>0</v>
      </c>
      <c r="E25" s="6" t="str">
        <f>IF(IFERROR(Table2[[#This Row],[Status]],"")=0,"",IFERROR(Table2[[#This Row],[Status]],""))</f>
        <v/>
      </c>
    </row>
    <row r="26" spans="2:5">
      <c r="B26" s="5">
        <f>IFERROR(Table2[[#This Row],[Activities]],"")</f>
        <v>0</v>
      </c>
      <c r="C26" s="1">
        <f>IFERROR(Table2[[#This Row],[Important]],"")</f>
        <v>0</v>
      </c>
      <c r="D26" s="1">
        <f>IFERROR(Table2[[#This Row],[Urgent]],"")</f>
        <v>0</v>
      </c>
      <c r="E26" s="6" t="str">
        <f>IF(IFERROR(Table2[[#This Row],[Status]],"")=0,"",IFERROR(Table2[[#This Row],[Status]],""))</f>
        <v/>
      </c>
    </row>
    <row r="27" spans="2:5">
      <c r="B27" s="5">
        <f>IFERROR(Table2[[#This Row],[Activities]],"")</f>
        <v>0</v>
      </c>
      <c r="C27" s="1">
        <f>IFERROR(Table2[[#This Row],[Important]],"")</f>
        <v>0</v>
      </c>
      <c r="D27" s="1">
        <f>IFERROR(Table2[[#This Row],[Urgent]],"")</f>
        <v>0</v>
      </c>
      <c r="E27" s="6" t="str">
        <f>IF(IFERROR(Table2[[#This Row],[Status]],"")=0,"",IFERROR(Table2[[#This Row],[Status]],""))</f>
        <v/>
      </c>
    </row>
    <row r="28" spans="2:5">
      <c r="B28" s="5">
        <f>IFERROR(Table2[[#This Row],[Activities]],"")</f>
        <v>0</v>
      </c>
      <c r="C28" s="1">
        <f>IFERROR(Table2[[#This Row],[Important]],"")</f>
        <v>0</v>
      </c>
      <c r="D28" s="1">
        <f>IFERROR(Table2[[#This Row],[Urgent]],"")</f>
        <v>0</v>
      </c>
      <c r="E28" s="6" t="str">
        <f>IF(IFERROR(Table2[[#This Row],[Status]],"")=0,"",IFERROR(Table2[[#This Row],[Status]],""))</f>
        <v/>
      </c>
    </row>
    <row r="29" spans="2:5">
      <c r="B29" s="5">
        <f>IFERROR(Table2[[#This Row],[Activities]],"")</f>
        <v>0</v>
      </c>
      <c r="C29" s="1">
        <f>IFERROR(Table2[[#This Row],[Important]],"")</f>
        <v>0</v>
      </c>
      <c r="D29" s="1">
        <f>IFERROR(Table2[[#This Row],[Urgent]],"")</f>
        <v>0</v>
      </c>
      <c r="E29" s="6" t="str">
        <f>IF(IFERROR(Table2[[#This Row],[Status]],"")=0,"",IFERROR(Table2[[#This Row],[Status]],""))</f>
        <v/>
      </c>
    </row>
    <row r="30" spans="2:5">
      <c r="B30" s="5">
        <f>IFERROR(Table2[[#This Row],[Activities]],"")</f>
        <v>0</v>
      </c>
      <c r="C30" s="1">
        <f>IFERROR(Table2[[#This Row],[Important]],"")</f>
        <v>0</v>
      </c>
      <c r="D30" s="1">
        <f>IFERROR(Table2[[#This Row],[Urgent]],"")</f>
        <v>0</v>
      </c>
      <c r="E30" s="6" t="str">
        <f>IF(IFERROR(Table2[[#This Row],[Status]],"")=0,"",IFERROR(Table2[[#This Row],[Status]],""))</f>
        <v/>
      </c>
    </row>
    <row r="31" spans="2:5">
      <c r="B31" s="5">
        <f>IFERROR(Table2[[#This Row],[Activities]],"")</f>
        <v>0</v>
      </c>
      <c r="C31" s="1">
        <f>IFERROR(Table2[[#This Row],[Important]],"")</f>
        <v>0</v>
      </c>
      <c r="D31" s="1">
        <f>IFERROR(Table2[[#This Row],[Urgent]],"")</f>
        <v>0</v>
      </c>
      <c r="E31" s="6" t="str">
        <f>IF(IFERROR(Table2[[#This Row],[Status]],"")=0,"",IFERROR(Table2[[#This Row],[Status]],""))</f>
        <v/>
      </c>
    </row>
    <row r="32" spans="2:5">
      <c r="B32" s="5">
        <f>IFERROR(Table2[[#This Row],[Activities]],"")</f>
        <v>0</v>
      </c>
      <c r="C32" s="1">
        <f>IFERROR(Table2[[#This Row],[Important]],"")</f>
        <v>0</v>
      </c>
      <c r="D32" s="1">
        <f>IFERROR(Table2[[#This Row],[Urgent]],"")</f>
        <v>0</v>
      </c>
      <c r="E32" s="6" t="str">
        <f>IF(IFERROR(Table2[[#This Row],[Status]],"")=0,"",IFERROR(Table2[[#This Row],[Status]],""))</f>
        <v/>
      </c>
    </row>
    <row r="33" spans="2:5">
      <c r="B33" s="5" t="str">
        <f>IFERROR(Table2[[#This Row],[Activities]],"")</f>
        <v/>
      </c>
      <c r="C33" s="1" t="str">
        <f>IFERROR(Table2[[#This Row],[Important]],"")</f>
        <v/>
      </c>
      <c r="D33" s="1" t="str">
        <f>IFERROR(Table2[[#This Row],[Urgent]],"")</f>
        <v/>
      </c>
      <c r="E33" s="6" t="str">
        <f>IF(IFERROR(Table2[[#This Row],[Status]],"")=0,"",IFERROR(Table2[[#This Row],[Status]],""))</f>
        <v/>
      </c>
    </row>
    <row r="34" spans="2:5">
      <c r="B34" s="5" t="str">
        <f>IFERROR(Table2[[#This Row],[Activities]],"")</f>
        <v/>
      </c>
      <c r="C34" s="1" t="str">
        <f>IFERROR(Table2[[#This Row],[Important]],"")</f>
        <v/>
      </c>
      <c r="D34" s="1" t="str">
        <f>IFERROR(Table2[[#This Row],[Urgent]],"")</f>
        <v/>
      </c>
      <c r="E34" s="6" t="str">
        <f>IF(IFERROR(Table2[[#This Row],[Status]],"")=0,"",IFERROR(Table2[[#This Row],[Status]],""))</f>
        <v/>
      </c>
    </row>
    <row r="35" spans="2:5">
      <c r="B35" s="5" t="str">
        <f>IFERROR(Table2[[#This Row],[Activities]],"")</f>
        <v/>
      </c>
      <c r="C35" s="1" t="str">
        <f>IFERROR(Table2[[#This Row],[Important]],"")</f>
        <v/>
      </c>
      <c r="D35" s="1" t="str">
        <f>IFERROR(Table2[[#This Row],[Urgent]],"")</f>
        <v/>
      </c>
      <c r="E35" s="6" t="str">
        <f>IF(IFERROR(Table2[[#This Row],[Status]],"")=0,"",IFERROR(Table2[[#This Row],[Status]],""))</f>
        <v/>
      </c>
    </row>
    <row r="36" spans="2:5">
      <c r="B36" s="5" t="str">
        <f>IFERROR(Table2[[#This Row],[Activities]],"")</f>
        <v/>
      </c>
      <c r="C36" s="1" t="str">
        <f>IFERROR(Table2[[#This Row],[Important]],"")</f>
        <v/>
      </c>
      <c r="D36" s="1" t="str">
        <f>IFERROR(Table2[[#This Row],[Urgent]],"")</f>
        <v/>
      </c>
      <c r="E36" s="6" t="str">
        <f>IF(IFERROR(Table2[[#This Row],[Status]],"")=0,"",IFERROR(Table2[[#This Row],[Status]],""))</f>
        <v/>
      </c>
    </row>
    <row r="37" spans="2:5">
      <c r="B37" s="5" t="str">
        <f>IFERROR(Table2[[#This Row],[Activities]],"")</f>
        <v/>
      </c>
      <c r="C37" s="1" t="str">
        <f>IFERROR(Table2[[#This Row],[Important]],"")</f>
        <v/>
      </c>
      <c r="D37" s="1" t="str">
        <f>IFERROR(Table2[[#This Row],[Urgent]],"")</f>
        <v/>
      </c>
      <c r="E37" s="6" t="str">
        <f>IF(IFERROR(Table2[[#This Row],[Status]],"")=0,"",IFERROR(Table2[[#This Row],[Status]],""))</f>
        <v/>
      </c>
    </row>
    <row r="38" spans="2:5">
      <c r="B38" s="5" t="str">
        <f>IFERROR(Table2[[#This Row],[Activities]],"")</f>
        <v/>
      </c>
      <c r="C38" s="1" t="str">
        <f>IFERROR(Table2[[#This Row],[Important]],"")</f>
        <v/>
      </c>
      <c r="D38" s="1" t="str">
        <f>IFERROR(Table2[[#This Row],[Urgent]],"")</f>
        <v/>
      </c>
      <c r="E38" s="6" t="str">
        <f>IF(IFERROR(Table2[[#This Row],[Status]],"")=0,"",IFERROR(Table2[[#This Row],[Status]],""))</f>
        <v/>
      </c>
    </row>
    <row r="39" spans="2:5">
      <c r="B39" s="5" t="str">
        <f>IFERROR(Table2[[#This Row],[Activities]],"")</f>
        <v/>
      </c>
      <c r="C39" s="1" t="str">
        <f>IFERROR(Table2[[#This Row],[Important]],"")</f>
        <v/>
      </c>
      <c r="D39" s="1" t="str">
        <f>IFERROR(Table2[[#This Row],[Urgent]],"")</f>
        <v/>
      </c>
      <c r="E39" s="6" t="str">
        <f>IF(IFERROR(Table2[[#This Row],[Status]],"")=0,"",IFERROR(Table2[[#This Row],[Status]],""))</f>
        <v/>
      </c>
    </row>
    <row r="40" spans="2:5">
      <c r="B40" s="5" t="str">
        <f>IFERROR(Table2[[#This Row],[Activities]],"")</f>
        <v/>
      </c>
      <c r="C40" s="1" t="str">
        <f>IFERROR(Table2[[#This Row],[Important]],"")</f>
        <v/>
      </c>
      <c r="D40" s="1" t="str">
        <f>IFERROR(Table2[[#This Row],[Urgent]],"")</f>
        <v/>
      </c>
      <c r="E40" s="6" t="str">
        <f>IF(IFERROR(Table2[[#This Row],[Status]],"")=0,"",IFERROR(Table2[[#This Row],[Status]],""))</f>
        <v/>
      </c>
    </row>
    <row r="41" spans="2:5">
      <c r="B41" s="5" t="str">
        <f>IFERROR(Table2[[#This Row],[Activities]],"")</f>
        <v/>
      </c>
      <c r="C41" s="1" t="str">
        <f>IFERROR(Table2[[#This Row],[Important]],"")</f>
        <v/>
      </c>
      <c r="D41" s="1" t="str">
        <f>IFERROR(Table2[[#This Row],[Urgent]],"")</f>
        <v/>
      </c>
      <c r="E41" s="6" t="str">
        <f>IF(IFERROR(Table2[[#This Row],[Status]],"")=0,"",IFERROR(Table2[[#This Row],[Status]],""))</f>
        <v/>
      </c>
    </row>
    <row r="42" spans="2:5">
      <c r="B42" s="5" t="str">
        <f>IFERROR(Table2[[#This Row],[Activities]],"")</f>
        <v/>
      </c>
      <c r="C42" s="1" t="str">
        <f>IFERROR(Table2[[#This Row],[Important]],"")</f>
        <v/>
      </c>
      <c r="D42" s="1" t="str">
        <f>IFERROR(Table2[[#This Row],[Urgent]],"")</f>
        <v/>
      </c>
      <c r="E42" s="6" t="str">
        <f>IF(IFERROR(Table2[[#This Row],[Status]],"")=0,"",IFERROR(Table2[[#This Row],[Status]],""))</f>
        <v/>
      </c>
    </row>
    <row r="43" spans="2:5">
      <c r="B43" s="5" t="str">
        <f>IFERROR(Table2[[#This Row],[Activities]],"")</f>
        <v/>
      </c>
      <c r="C43" s="1" t="str">
        <f>IFERROR(Table2[[#This Row],[Important]],"")</f>
        <v/>
      </c>
      <c r="D43" s="1" t="str">
        <f>IFERROR(Table2[[#This Row],[Urgent]],"")</f>
        <v/>
      </c>
      <c r="E43" s="6" t="str">
        <f>IF(IFERROR(Table2[[#This Row],[Status]],"")=0,"",IFERROR(Table2[[#This Row],[Status]],""))</f>
        <v/>
      </c>
    </row>
    <row r="44" spans="2:5">
      <c r="B44" s="5" t="str">
        <f>IFERROR(Table2[[#This Row],[Activities]],"")</f>
        <v/>
      </c>
      <c r="C44" s="1" t="str">
        <f>IFERROR(Table2[[#This Row],[Important]],"")</f>
        <v/>
      </c>
      <c r="D44" s="1" t="str">
        <f>IFERROR(Table2[[#This Row],[Urgent]],"")</f>
        <v/>
      </c>
      <c r="E44" s="6" t="str">
        <f>IF(IFERROR(Table2[[#This Row],[Status]],"")=0,"",IFERROR(Table2[[#This Row],[Status]],""))</f>
        <v/>
      </c>
    </row>
    <row r="45" spans="2:5">
      <c r="B45" s="5" t="str">
        <f>IFERROR(Table2[[#This Row],[Activities]],"")</f>
        <v/>
      </c>
      <c r="C45" s="1" t="str">
        <f>IFERROR(Table2[[#This Row],[Important]],"")</f>
        <v/>
      </c>
      <c r="D45" s="1" t="str">
        <f>IFERROR(Table2[[#This Row],[Urgent]],"")</f>
        <v/>
      </c>
      <c r="E45" s="6" t="str">
        <f>IF(IFERROR(Table2[[#This Row],[Status]],"")=0,"",IFERROR(Table2[[#This Row],[Status]],""))</f>
        <v/>
      </c>
    </row>
    <row r="46" spans="2:5">
      <c r="B46" s="5" t="str">
        <f>IFERROR(Table2[[#This Row],[Activities]],"")</f>
        <v/>
      </c>
      <c r="C46" s="1" t="str">
        <f>IFERROR(Table2[[#This Row],[Important]],"")</f>
        <v/>
      </c>
      <c r="D46" s="1" t="str">
        <f>IFERROR(Table2[[#This Row],[Urgent]],"")</f>
        <v/>
      </c>
      <c r="E46" s="6" t="str">
        <f>IF(IFERROR(Table2[[#This Row],[Status]],"")=0,"",IFERROR(Table2[[#This Row],[Status]],""))</f>
        <v/>
      </c>
    </row>
    <row r="47" spans="2:5">
      <c r="B47" s="5" t="str">
        <f>IFERROR(Table2[[#This Row],[Activities]],"")</f>
        <v/>
      </c>
      <c r="C47" s="1" t="str">
        <f>IFERROR(Table2[[#This Row],[Important]],"")</f>
        <v/>
      </c>
      <c r="D47" s="1" t="str">
        <f>IFERROR(Table2[[#This Row],[Urgent]],"")</f>
        <v/>
      </c>
      <c r="E47" s="6" t="str">
        <f>IF(IFERROR(Table2[[#This Row],[Status]],"")=0,"",IFERROR(Table2[[#This Row],[Status]],""))</f>
        <v/>
      </c>
    </row>
    <row r="48" spans="2:5">
      <c r="B48" s="5" t="str">
        <f>IFERROR(Table2[[#This Row],[Activities]],"")</f>
        <v/>
      </c>
      <c r="C48" s="1" t="str">
        <f>IFERROR(Table2[[#This Row],[Important]],"")</f>
        <v/>
      </c>
      <c r="D48" s="1" t="str">
        <f>IFERROR(Table2[[#This Row],[Urgent]],"")</f>
        <v/>
      </c>
      <c r="E48" s="6" t="str">
        <f>IF(IFERROR(Table2[[#This Row],[Status]],"")=0,"",IFERROR(Table2[[#This Row],[Status]],""))</f>
        <v/>
      </c>
    </row>
    <row r="49" spans="2:5">
      <c r="B49" s="5" t="str">
        <f>IFERROR(Table2[[#This Row],[Activities]],"")</f>
        <v/>
      </c>
      <c r="C49" s="1" t="str">
        <f>IFERROR(Table2[[#This Row],[Important]],"")</f>
        <v/>
      </c>
      <c r="D49" s="1" t="str">
        <f>IFERROR(Table2[[#This Row],[Urgent]],"")</f>
        <v/>
      </c>
      <c r="E49" s="6" t="str">
        <f>IF(IFERROR(Table2[[#This Row],[Status]],"")=0,"",IFERROR(Table2[[#This Row],[Status]],""))</f>
        <v/>
      </c>
    </row>
    <row r="50" spans="2:5">
      <c r="B50" s="5" t="str">
        <f>IFERROR(Table2[[#This Row],[Activities]],"")</f>
        <v/>
      </c>
      <c r="C50" s="1" t="str">
        <f>IFERROR(Table2[[#This Row],[Important]],"")</f>
        <v/>
      </c>
      <c r="D50" s="1" t="str">
        <f>IFERROR(Table2[[#This Row],[Urgent]],"")</f>
        <v/>
      </c>
      <c r="E50" s="6" t="str">
        <f>IF(IFERROR(Table2[[#This Row],[Status]],"")=0,"",IFERROR(Table2[[#This Row],[Status]],""))</f>
        <v/>
      </c>
    </row>
    <row r="51" spans="2:5">
      <c r="B51" s="5" t="str">
        <f>IFERROR(Table2[[#This Row],[Activities]],"")</f>
        <v/>
      </c>
      <c r="C51" s="1" t="str">
        <f>IFERROR(Table2[[#This Row],[Important]],"")</f>
        <v/>
      </c>
      <c r="D51" s="1" t="str">
        <f>IFERROR(Table2[[#This Row],[Urgent]],"")</f>
        <v/>
      </c>
      <c r="E51" s="6" t="str">
        <f>IF(IFERROR(Table2[[#This Row],[Status]],"")=0,"",IFERROR(Table2[[#This Row],[Status]],""))</f>
        <v/>
      </c>
    </row>
    <row r="52" spans="2:5">
      <c r="B52" s="7" t="str">
        <f>IFERROR(Table2[[#This Row],[Activities]],"")</f>
        <v/>
      </c>
      <c r="C52" s="8" t="str">
        <f>IFERROR(Table2[[#This Row],[Important]],"")</f>
        <v/>
      </c>
      <c r="D52" s="8" t="str">
        <f>IFERROR(Table2[[#This Row],[Urgent]],"")</f>
        <v/>
      </c>
      <c r="E52" s="9" t="str">
        <f>IF(IFERROR(Table2[[#This Row],[Status]],"")=0,"",IFERROR(Table2[[#This Row],[Status]],""))</f>
        <v/>
      </c>
    </row>
  </sheetData>
  <conditionalFormatting sqref="B3:E52">
    <cfRule type="expression" dxfId="8" priority="1">
      <formula>$E3="Completed"</formula>
    </cfRule>
  </conditionalFormatting>
  <dataValidations count="1">
    <dataValidation type="list" allowBlank="1" showInputMessage="1" showErrorMessage="1" sqref="E3:E52">
      <formula1>INDIRECT("StatusOptions[#Data]")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Sheet2!$B$2:$B$3</xm:f>
          </x14:formula1>
          <xm:sqref>C3:D52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R61"/>
  <sheetViews>
    <sheetView showGridLines="0" topLeftCell="C1" zoomScale="80" zoomScaleNormal="80" workbookViewId="0">
      <selection activeCell="O12" sqref="O12"/>
    </sheetView>
  </sheetViews>
  <sheetFormatPr defaultRowHeight="14.25"/>
  <cols>
    <col min="1" max="1" width="24.75" bestFit="1" customWidth="1"/>
    <col min="5" max="5" width="20.75" customWidth="1"/>
    <col min="6" max="6" width="12.375" customWidth="1"/>
    <col min="7" max="7" width="11.75" customWidth="1"/>
    <col min="8" max="8" width="11.875" customWidth="1"/>
    <col min="10" max="10" width="20.75" customWidth="1"/>
    <col min="11" max="11" width="12.375" customWidth="1"/>
    <col min="12" max="12" width="11.75" customWidth="1"/>
    <col min="13" max="13" width="11.875" customWidth="1"/>
    <col min="15" max="18" width="35.75" customWidth="1"/>
  </cols>
  <sheetData>
    <row r="2" spans="1:18">
      <c r="B2" t="s">
        <v>3</v>
      </c>
      <c r="E2" s="1" t="s">
        <v>5</v>
      </c>
      <c r="F2" s="1" t="s">
        <v>1</v>
      </c>
      <c r="G2" s="1" t="s">
        <v>2</v>
      </c>
      <c r="H2" s="1" t="s">
        <v>6</v>
      </c>
      <c r="J2" s="1" t="s">
        <v>5</v>
      </c>
      <c r="K2" s="1" t="s">
        <v>1</v>
      </c>
      <c r="L2" s="1" t="s">
        <v>2</v>
      </c>
      <c r="M2" s="1" t="s">
        <v>6</v>
      </c>
      <c r="O2" s="3" t="s">
        <v>5</v>
      </c>
      <c r="P2" s="3" t="s">
        <v>1</v>
      </c>
      <c r="Q2" s="3" t="s">
        <v>2</v>
      </c>
      <c r="R2" s="3" t="s">
        <v>6</v>
      </c>
    </row>
    <row r="3" spans="1:18">
      <c r="B3" t="s">
        <v>4</v>
      </c>
      <c r="C3" t="b">
        <f>IF('To Do List Sorted'!$E3=Sheet2!$A$15,TRUE,FALSE)</f>
        <v>0</v>
      </c>
      <c r="E3" s="1" t="str">
        <f>IF(AND('To Do List Sorted'!C3="Yes",'To Do List Sorted'!D3="Yes"),'To Do List Sorted'!B3,"")</f>
        <v>Task 1</v>
      </c>
      <c r="F3" s="1" t="str">
        <f>IF(AND('To Do List Sorted'!C3="Yes",'To Do List Sorted'!D3="No"),'To Do List Sorted'!B3,"")</f>
        <v/>
      </c>
      <c r="G3" s="1" t="str">
        <f>IF(AND('To Do List Sorted'!C3="No",'To Do List Sorted'!D3="Yes"),'To Do List Sorted'!B3,"")</f>
        <v/>
      </c>
      <c r="H3" s="1" t="str">
        <f>IF(AND('To Do List Sorted'!C3="No",'To Do List Sorted'!D3="No"),'To Do List Sorted'!B3,"")</f>
        <v/>
      </c>
      <c r="J3" s="1">
        <f>IF(E3&lt;&gt;"",ROWS($I$3:I3),"")</f>
        <v>1</v>
      </c>
      <c r="K3" s="1" t="str">
        <f>IF(F3&lt;&gt;"",ROWS($I$3:J3),"")</f>
        <v/>
      </c>
      <c r="L3" s="1" t="str">
        <f>IF(G3&lt;&gt;"",ROWS($I$3:K3),"")</f>
        <v/>
      </c>
      <c r="M3" s="1" t="str">
        <f>IF(H3&lt;&gt;"",ROWS($I$3:L3),"")</f>
        <v/>
      </c>
      <c r="N3" s="19" t="b">
        <f>INDEX($C$3:$C$52,SMALL($J$3:$J$52,ROWS($S$3:S3)+$B$6-1))</f>
        <v>0</v>
      </c>
      <c r="O3" s="4" t="str">
        <f>IFERROR(IF(INDEX(E$3:E$52,SMALL(J$3:J$52,ROWS($N$3:N3)+$B$6-1))&lt;&gt;"",CHAR(149)&amp; " "&amp;INDEX(E$3:E$52,SMALL(J$3:J$52,ROWS($N$3:N3)+$B$6-1)),""),"")</f>
        <v>• Task 1</v>
      </c>
      <c r="P3" s="4" t="str">
        <f>IFERROR(IF(INDEX(F$3:F$52,SMALL(K$3:K$52,ROWS($N$3:O3)+$B$7-1))&lt;&gt;"",CHAR(149)&amp; " "&amp;INDEX(F$3:F$52,SMALL(K$3:K$52,ROWS($N$3:O3)+$B$7-1)),""),"")</f>
        <v>• Task 5</v>
      </c>
      <c r="Q3" s="4" t="str">
        <f>IFERROR(IF(INDEX(G$3:G$52,SMALL(L$3:L$52,ROWS($N$3:P3)+$B$8-1))&lt;&gt;"",CHAR(149)&amp; " "&amp;INDEX(G$3:G$52,SMALL(L$3:L$52,ROWS($N$3:P3)+$B$8-1)),""),"")</f>
        <v>• Task 3</v>
      </c>
      <c r="R3" s="4" t="str">
        <f>IFERROR(IF(INDEX(H$3:H$52,SMALL(M$3:M$52,ROWS($N$3:Q3)+$B$7-1))&lt;&gt;"",CHAR(149)&amp; " "&amp;INDEX(H$3:H$52,SMALL(M$3:M$52,ROWS($N$3:Q3)+$B$7-1)),""),"")</f>
        <v>• Task 7</v>
      </c>
    </row>
    <row r="4" spans="1:18">
      <c r="C4" t="b">
        <f>IF('To Do List Sorted'!$E4=Sheet2!$A$15,TRUE,FALSE)</f>
        <v>0</v>
      </c>
      <c r="E4" s="1" t="str">
        <f>IF(AND('To Do List Sorted'!C4="Yes",'To Do List Sorted'!D4="Yes"),'To Do List Sorted'!B4,"")</f>
        <v>Task 2</v>
      </c>
      <c r="F4" s="1" t="str">
        <f>IF(AND('To Do List Sorted'!C4="Yes",'To Do List Sorted'!D4="No"),'To Do List Sorted'!B4,"")</f>
        <v/>
      </c>
      <c r="G4" s="1" t="str">
        <f>IF(AND('To Do List Sorted'!C4="No",'To Do List Sorted'!D4="Yes"),'To Do List Sorted'!B4,"")</f>
        <v/>
      </c>
      <c r="H4" s="1" t="str">
        <f>IF(AND('To Do List Sorted'!C4="No",'To Do List Sorted'!D4="No"),'To Do List Sorted'!B4,"")</f>
        <v/>
      </c>
      <c r="J4" s="1">
        <f>IF(E4&lt;&gt;"",ROWS($I$3:I4),"")</f>
        <v>2</v>
      </c>
      <c r="K4" s="1" t="str">
        <f>IF(F4&lt;&gt;"",ROWS($I$3:J4),"")</f>
        <v/>
      </c>
      <c r="L4" s="1" t="str">
        <f>IF(G4&lt;&gt;"",ROWS($I$3:K4),"")</f>
        <v/>
      </c>
      <c r="M4" s="1" t="str">
        <f>IF(H4&lt;&gt;"",ROWS($I$3:L4),"")</f>
        <v/>
      </c>
      <c r="N4" s="19" t="b">
        <f>INDEX($C$3:$C$52,SMALL($J$3:$J$52,ROWS($S$3:S4)+$B$6-1))</f>
        <v>0</v>
      </c>
      <c r="O4" s="4" t="str">
        <f>IFERROR(IF(INDEX(E$3:E$52,SMALL(J$3:J$52,ROWS($N$3:N4)+$B$6-1))&lt;&gt;"",CHAR(149)&amp; " "&amp;INDEX(E$3:E$52,SMALL(J$3:J$52,ROWS($N$3:N4)+$B$6-1)),""),"")</f>
        <v>• Task 2</v>
      </c>
      <c r="P4" s="4" t="str">
        <f>IFERROR(IF(INDEX(F$3:F$52,SMALL(K$3:K$52,ROWS($N$3:O4)+$B$7-1))&lt;&gt;"",CHAR(149)&amp; " "&amp;INDEX(F$3:F$52,SMALL(K$3:K$52,ROWS($N$3:O4)+$B$7-1)),""),"")</f>
        <v>• Task 6</v>
      </c>
      <c r="Q4" s="4" t="str">
        <f>IFERROR(IF(INDEX(G$3:G$52,SMALL(L$3:L$52,ROWS($N$3:P4)+$B$8-1))&lt;&gt;"",CHAR(149)&amp; " "&amp;INDEX(G$3:G$52,SMALL(L$3:L$52,ROWS($N$3:P4)+$B$8-1)),""),"")</f>
        <v>• Task 4</v>
      </c>
      <c r="R4" s="4" t="str">
        <f>IFERROR(IF(INDEX(H$3:H$52,SMALL(M$3:M$52,ROWS($N$3:Q4)+$B$9-1))&lt;&gt;"",CHAR(149)&amp; " "&amp;INDEX(H$3:H$52,SMALL(M$3:M$52,ROWS($N$3:Q4)+$B$9-1)),""),"")</f>
        <v>• Task 8</v>
      </c>
    </row>
    <row r="5" spans="1:18">
      <c r="C5" t="b">
        <f>IF('To Do List Sorted'!$E5=Sheet2!$A$15,TRUE,FALSE)</f>
        <v>0</v>
      </c>
      <c r="E5" s="1" t="str">
        <f>IF(AND('To Do List Sorted'!C5="Yes",'To Do List Sorted'!D5="Yes"),'To Do List Sorted'!B5,"")</f>
        <v/>
      </c>
      <c r="F5" s="1" t="str">
        <f>IF(AND('To Do List Sorted'!C5="Yes",'To Do List Sorted'!D5="No"),'To Do List Sorted'!B5,"")</f>
        <v/>
      </c>
      <c r="G5" s="1" t="str">
        <f>IF(AND('To Do List Sorted'!C5="No",'To Do List Sorted'!D5="Yes"),'To Do List Sorted'!B5,"")</f>
        <v>Task 3</v>
      </c>
      <c r="H5" s="1" t="str">
        <f>IF(AND('To Do List Sorted'!C5="No",'To Do List Sorted'!D5="No"),'To Do List Sorted'!B5,"")</f>
        <v/>
      </c>
      <c r="J5" s="1" t="str">
        <f>IF(E5&lt;&gt;"",ROWS($I$3:I5),"")</f>
        <v/>
      </c>
      <c r="K5" s="1" t="str">
        <f>IF(F5&lt;&gt;"",ROWS($I$3:J5),"")</f>
        <v/>
      </c>
      <c r="L5" s="1">
        <f>IF(G5&lt;&gt;"",ROWS($I$3:K5),"")</f>
        <v>3</v>
      </c>
      <c r="M5" s="1" t="str">
        <f>IF(H5&lt;&gt;"",ROWS($I$3:L5),"")</f>
        <v/>
      </c>
      <c r="N5" s="19" t="e">
        <f>INDEX($C$3:$C$52,SMALL($J$3:$J$52,ROWS($S$3:S5)+$B$6-1))</f>
        <v>#NUM!</v>
      </c>
      <c r="O5" s="4" t="str">
        <f>IFERROR(IF(INDEX(E$3:E$52,SMALL(J$3:J$52,ROWS($N$3:N5)+$B$6-1))&lt;&gt;"",CHAR(149)&amp; " "&amp;INDEX(E$3:E$52,SMALL(J$3:J$52,ROWS($N$3:N5)+$B$6-1)),""),"")</f>
        <v/>
      </c>
      <c r="P5" s="4" t="str">
        <f>IFERROR(IF(INDEX(F$3:F$52,SMALL(K$3:K$52,ROWS($N$3:O5)+$B$7-1))&lt;&gt;"",CHAR(149)&amp; " "&amp;INDEX(F$3:F$52,SMALL(K$3:K$52,ROWS($N$3:O5)+$B$7-1)),""),"")</f>
        <v/>
      </c>
      <c r="Q5" s="4" t="str">
        <f>IFERROR(IF(INDEX(G$3:G$52,SMALL(L$3:L$52,ROWS($N$3:P5)+$B$8-1))&lt;&gt;"",CHAR(149)&amp; " "&amp;INDEX(G$3:G$52,SMALL(L$3:L$52,ROWS($N$3:P5)+$B$8-1)),""),"")</f>
        <v/>
      </c>
      <c r="R5" s="4" t="str">
        <f>IFERROR(IF(INDEX(H$3:H$52,SMALL(M$3:M$52,ROWS($N$3:Q5)+$B$9-1))&lt;&gt;"",CHAR(149)&amp; " "&amp;INDEX(H$3:H$52,SMALL(M$3:M$52,ROWS($N$3:Q5)+$B$9-1)),""),"")</f>
        <v/>
      </c>
    </row>
    <row r="6" spans="1:18">
      <c r="A6" t="s">
        <v>7</v>
      </c>
      <c r="B6">
        <v>1</v>
      </c>
      <c r="C6" t="b">
        <f>IF('To Do List Sorted'!$E6=Sheet2!$A$15,TRUE,FALSE)</f>
        <v>0</v>
      </c>
      <c r="E6" s="1" t="str">
        <f>IF(AND('To Do List Sorted'!C6="Yes",'To Do List Sorted'!D6="Yes"),'To Do List Sorted'!B6,"")</f>
        <v/>
      </c>
      <c r="F6" s="1" t="str">
        <f>IF(AND('To Do List Sorted'!C6="Yes",'To Do List Sorted'!D6="No"),'To Do List Sorted'!B6,"")</f>
        <v/>
      </c>
      <c r="G6" s="1" t="str">
        <f>IF(AND('To Do List Sorted'!C6="No",'To Do List Sorted'!D6="Yes"),'To Do List Sorted'!B6,"")</f>
        <v>Task 4</v>
      </c>
      <c r="H6" s="1" t="str">
        <f>IF(AND('To Do List Sorted'!C6="No",'To Do List Sorted'!D6="No"),'To Do List Sorted'!B6,"")</f>
        <v/>
      </c>
      <c r="J6" s="1" t="str">
        <f>IF(E6&lt;&gt;"",ROWS($I$3:I6),"")</f>
        <v/>
      </c>
      <c r="K6" s="1" t="str">
        <f>IF(F6&lt;&gt;"",ROWS($I$3:J6),"")</f>
        <v/>
      </c>
      <c r="L6" s="1">
        <f>IF(G6&lt;&gt;"",ROWS($I$3:K6),"")</f>
        <v>4</v>
      </c>
      <c r="M6" s="1" t="str">
        <f>IF(H6&lt;&gt;"",ROWS($I$3:L6),"")</f>
        <v/>
      </c>
      <c r="N6" s="19" t="e">
        <f>INDEX($C$3:$C$52,SMALL($J$3:$J$52,ROWS($S$3:S6)+$B$6-1))</f>
        <v>#NUM!</v>
      </c>
      <c r="O6" s="4" t="str">
        <f>IFERROR(IF(INDEX(E$3:E$52,SMALL(J$3:J$52,ROWS($N$3:N6)+$B$6-1))&lt;&gt;"",CHAR(149)&amp; " "&amp;INDEX(E$3:E$52,SMALL(J$3:J$52,ROWS($N$3:N6)+$B$6-1)),""),"")</f>
        <v/>
      </c>
      <c r="P6" s="4" t="str">
        <f>IFERROR(IF(INDEX(F$3:F$52,SMALL(K$3:K$52,ROWS($N$3:O6)+$B$7-1))&lt;&gt;"",CHAR(149)&amp; " "&amp;INDEX(F$3:F$52,SMALL(K$3:K$52,ROWS($N$3:O6)+$B$7-1)),""),"")</f>
        <v/>
      </c>
      <c r="Q6" s="4" t="str">
        <f>IFERROR(IF(INDEX(G$3:G$52,SMALL(L$3:L$52,ROWS($N$3:P6)+$B$8-1))&lt;&gt;"",CHAR(149)&amp; " "&amp;INDEX(G$3:G$52,SMALL(L$3:L$52,ROWS($N$3:P6)+$B$8-1)),""),"")</f>
        <v/>
      </c>
      <c r="R6" s="4" t="str">
        <f>IFERROR(IF(INDEX(H$3:H$52,SMALL(M$3:M$52,ROWS($N$3:Q6)+$B$9-1))&lt;&gt;"",CHAR(149)&amp; " "&amp;INDEX(H$3:H$52,SMALL(M$3:M$52,ROWS($N$3:Q6)+$B$9-1)),""),"")</f>
        <v/>
      </c>
    </row>
    <row r="7" spans="1:18">
      <c r="B7">
        <v>1</v>
      </c>
      <c r="C7" t="b">
        <f>IF('To Do List Sorted'!$E7=Sheet2!$A$15,TRUE,FALSE)</f>
        <v>0</v>
      </c>
      <c r="E7" s="1" t="str">
        <f>IF(AND('To Do List Sorted'!C7="Yes",'To Do List Sorted'!D7="Yes"),'To Do List Sorted'!B7,"")</f>
        <v/>
      </c>
      <c r="F7" s="1" t="str">
        <f>IF(AND('To Do List Sorted'!C7="Yes",'To Do List Sorted'!D7="No"),'To Do List Sorted'!B7,"")</f>
        <v>Task 5</v>
      </c>
      <c r="G7" s="1" t="str">
        <f>IF(AND('To Do List Sorted'!C7="No",'To Do List Sorted'!D7="Yes"),'To Do List Sorted'!B7,"")</f>
        <v/>
      </c>
      <c r="H7" s="1" t="str">
        <f>IF(AND('To Do List Sorted'!C7="No",'To Do List Sorted'!D7="No"),'To Do List Sorted'!B7,"")</f>
        <v/>
      </c>
      <c r="J7" s="1" t="str">
        <f>IF(E7&lt;&gt;"",ROWS($I$3:I7),"")</f>
        <v/>
      </c>
      <c r="K7" s="1">
        <f>IF(F7&lt;&gt;"",ROWS($I$3:J7),"")</f>
        <v>5</v>
      </c>
      <c r="L7" s="1" t="str">
        <f>IF(G7&lt;&gt;"",ROWS($I$3:K7),"")</f>
        <v/>
      </c>
      <c r="M7" s="1" t="str">
        <f>IF(H7&lt;&gt;"",ROWS($I$3:L7),"")</f>
        <v/>
      </c>
      <c r="N7" s="19" t="e">
        <f>INDEX($C$3:$C$52,SMALL($J$3:$J$52,ROWS($S$3:S7)+$B$6-1))</f>
        <v>#NUM!</v>
      </c>
      <c r="O7" s="4" t="str">
        <f>IFERROR(IF(INDEX(E$3:E$52,SMALL(J$3:J$52,ROWS($N$3:N7)+$B$6-1))&lt;&gt;"",CHAR(149)&amp; " "&amp;INDEX(E$3:E$52,SMALL(J$3:J$52,ROWS($N$3:N7)+$B$6-1)),""),"")</f>
        <v/>
      </c>
      <c r="P7" s="4" t="str">
        <f>IFERROR(IF(INDEX(F$3:F$52,SMALL(K$3:K$52,ROWS($N$3:O7)+$B$7-1))&lt;&gt;"",CHAR(149)&amp; " "&amp;INDEX(F$3:F$52,SMALL(K$3:K$52,ROWS($N$3:O7)+$B$7-1)),""),"")</f>
        <v/>
      </c>
      <c r="Q7" s="4" t="str">
        <f>IFERROR(IF(INDEX(G$3:G$52,SMALL(L$3:L$52,ROWS($N$3:P7)+$B$8-1))&lt;&gt;"",CHAR(149)&amp; " "&amp;INDEX(G$3:G$52,SMALL(L$3:L$52,ROWS($N$3:P7)+$B$8-1)),""),"")</f>
        <v/>
      </c>
      <c r="R7" s="4" t="str">
        <f>IFERROR(IF(INDEX(H$3:H$52,SMALL(M$3:M$52,ROWS($N$3:Q7)+$B$9-1))&lt;&gt;"",CHAR(149)&amp; " "&amp;INDEX(H$3:H$52,SMALL(M$3:M$52,ROWS($N$3:Q7)+$B$9-1)),""),"")</f>
        <v/>
      </c>
    </row>
    <row r="8" spans="1:18">
      <c r="B8">
        <v>1</v>
      </c>
      <c r="C8" t="b">
        <f>IF('To Do List Sorted'!$E8=Sheet2!$A$15,TRUE,FALSE)</f>
        <v>0</v>
      </c>
      <c r="E8" s="1" t="str">
        <f>IF(AND('To Do List Sorted'!C8="Yes",'To Do List Sorted'!D8="Yes"),'To Do List Sorted'!B8,"")</f>
        <v/>
      </c>
      <c r="F8" s="1" t="str">
        <f>IF(AND('To Do List Sorted'!C8="Yes",'To Do List Sorted'!D8="No"),'To Do List Sorted'!B8,"")</f>
        <v>Task 6</v>
      </c>
      <c r="G8" s="1" t="str">
        <f>IF(AND('To Do List Sorted'!C8="No",'To Do List Sorted'!D8="Yes"),'To Do List Sorted'!B8,"")</f>
        <v/>
      </c>
      <c r="H8" s="1" t="str">
        <f>IF(AND('To Do List Sorted'!C8="No",'To Do List Sorted'!D8="No"),'To Do List Sorted'!B8,"")</f>
        <v/>
      </c>
      <c r="J8" s="1" t="str">
        <f>IF(E8&lt;&gt;"",ROWS($I$3:I8),"")</f>
        <v/>
      </c>
      <c r="K8" s="1">
        <f>IF(F8&lt;&gt;"",ROWS($I$3:J8),"")</f>
        <v>6</v>
      </c>
      <c r="L8" s="1" t="str">
        <f>IF(G8&lt;&gt;"",ROWS($I$3:K8),"")</f>
        <v/>
      </c>
      <c r="M8" s="1" t="str">
        <f>IF(H8&lt;&gt;"",ROWS($I$3:L8),"")</f>
        <v/>
      </c>
      <c r="N8" s="19" t="e">
        <f>INDEX($C$3:$C$52,SMALL($J$3:$J$52,ROWS($S$3:S8)+$B$6-1))</f>
        <v>#NUM!</v>
      </c>
      <c r="O8" s="4" t="str">
        <f>IFERROR(IF(INDEX(E$3:E$52,SMALL(J$3:J$52,ROWS($N$3:N8)+$B$6-1))&lt;&gt;"",CHAR(149)&amp; " "&amp;INDEX(E$3:E$52,SMALL(J$3:J$52,ROWS($N$3:N8)+$B$6-1)),""),"")</f>
        <v/>
      </c>
      <c r="P8" s="4" t="str">
        <f>IFERROR(IF(INDEX(F$3:F$52,SMALL(K$3:K$52,ROWS($N$3:O8)+$B$7-1))&lt;&gt;"",CHAR(149)&amp; " "&amp;INDEX(F$3:F$52,SMALL(K$3:K$52,ROWS($N$3:O8)+$B$7-1)),""),"")</f>
        <v/>
      </c>
      <c r="Q8" s="4" t="str">
        <f>IFERROR(IF(INDEX(G$3:G$52,SMALL(L$3:L$52,ROWS($N$3:P8)+$B$8-1))&lt;&gt;"",CHAR(149)&amp; " "&amp;INDEX(G$3:G$52,SMALL(L$3:L$52,ROWS($N$3:P8)+$B$8-1)),""),"")</f>
        <v/>
      </c>
      <c r="R8" s="4" t="str">
        <f>IFERROR(IF(INDEX(H$3:H$52,SMALL(M$3:M$52,ROWS($N$3:Q8)+$B$9-1))&lt;&gt;"",CHAR(149)&amp; " "&amp;INDEX(H$3:H$52,SMALL(M$3:M$52,ROWS($N$3:Q8)+$B$9-1)),""),"")</f>
        <v/>
      </c>
    </row>
    <row r="9" spans="1:18">
      <c r="B9">
        <v>1</v>
      </c>
      <c r="C9" t="b">
        <f>IF('To Do List Sorted'!$E9=Sheet2!$A$15,TRUE,FALSE)</f>
        <v>0</v>
      </c>
      <c r="E9" s="1" t="str">
        <f>IF(AND('To Do List Sorted'!C9="Yes",'To Do List Sorted'!D9="Yes"),'To Do List Sorted'!B9,"")</f>
        <v/>
      </c>
      <c r="F9" s="1" t="str">
        <f>IF(AND('To Do List Sorted'!C9="Yes",'To Do List Sorted'!D9="No"),'To Do List Sorted'!B9,"")</f>
        <v/>
      </c>
      <c r="G9" s="1" t="str">
        <f>IF(AND('To Do List Sorted'!C9="No",'To Do List Sorted'!D9="Yes"),'To Do List Sorted'!B9,"")</f>
        <v/>
      </c>
      <c r="H9" s="1" t="str">
        <f>IF(AND('To Do List Sorted'!C9="No",'To Do List Sorted'!D9="No"),'To Do List Sorted'!B9,"")</f>
        <v>Task 7</v>
      </c>
      <c r="J9" s="1" t="str">
        <f>IF(E9&lt;&gt;"",ROWS($I$3:I9),"")</f>
        <v/>
      </c>
      <c r="K9" s="1" t="str">
        <f>IF(F9&lt;&gt;"",ROWS($I$3:J9),"")</f>
        <v/>
      </c>
      <c r="L9" s="1" t="str">
        <f>IF(G9&lt;&gt;"",ROWS($I$3:K9),"")</f>
        <v/>
      </c>
      <c r="M9" s="1">
        <f>IF(H9&lt;&gt;"",ROWS($I$3:L9),"")</f>
        <v>7</v>
      </c>
      <c r="N9" s="19" t="e">
        <f>INDEX($C$3:$C$52,SMALL($J$3:$J$52,ROWS($S$3:S9)+$B$6-1))</f>
        <v>#NUM!</v>
      </c>
      <c r="O9" s="4" t="str">
        <f>IFERROR(IF(INDEX(E$3:E$52,SMALL(J$3:J$52,ROWS($N$3:N9)+$B$6-1))&lt;&gt;"",CHAR(149)&amp; " "&amp;INDEX(E$3:E$52,SMALL(J$3:J$52,ROWS($N$3:N9)+$B$6-1)),""),"")</f>
        <v/>
      </c>
      <c r="P9" s="4" t="str">
        <f>IFERROR(IF(INDEX(F$3:F$52,SMALL(K$3:K$52,ROWS($N$3:O9)+$B$7-1))&lt;&gt;"",CHAR(149)&amp; " "&amp;INDEX(F$3:F$52,SMALL(K$3:K$52,ROWS($N$3:O9)+$B$7-1)),""),"")</f>
        <v/>
      </c>
      <c r="Q9" s="4" t="str">
        <f>IFERROR(IF(INDEX(G$3:G$52,SMALL(L$3:L$52,ROWS($N$3:P9)+$B$8-1))&lt;&gt;"",CHAR(149)&amp; " "&amp;INDEX(G$3:G$52,SMALL(L$3:L$52,ROWS($N$3:P9)+$B$8-1)),""),"")</f>
        <v/>
      </c>
      <c r="R9" s="4" t="str">
        <f>IFERROR(IF(INDEX(H$3:H$52,SMALL(M$3:M$52,ROWS($N$3:Q9)+$B$9-1))&lt;&gt;"",CHAR(149)&amp; " "&amp;INDEX(H$3:H$52,SMALL(M$3:M$52,ROWS($N$3:Q9)+$B$9-1)),""),"")</f>
        <v/>
      </c>
    </row>
    <row r="10" spans="1:18">
      <c r="C10" t="b">
        <f>IF('To Do List Sorted'!$E10=Sheet2!$A$15,TRUE,FALSE)</f>
        <v>0</v>
      </c>
      <c r="E10" s="1" t="str">
        <f>IF(AND('To Do List Sorted'!C10="Yes",'To Do List Sorted'!D10="Yes"),'To Do List Sorted'!B10,"")</f>
        <v/>
      </c>
      <c r="F10" s="1" t="str">
        <f>IF(AND('To Do List Sorted'!C10="Yes",'To Do List Sorted'!D10="No"),'To Do List Sorted'!B10,"")</f>
        <v/>
      </c>
      <c r="G10" s="1" t="str">
        <f>IF(AND('To Do List Sorted'!C10="No",'To Do List Sorted'!D10="Yes"),'To Do List Sorted'!B10,"")</f>
        <v/>
      </c>
      <c r="H10" s="1" t="str">
        <f>IF(AND('To Do List Sorted'!C10="No",'To Do List Sorted'!D10="No"),'To Do List Sorted'!B10,"")</f>
        <v>Task 8</v>
      </c>
      <c r="J10" s="1" t="str">
        <f>IF(E10&lt;&gt;"",ROWS($I$3:I10),"")</f>
        <v/>
      </c>
      <c r="K10" s="1" t="str">
        <f>IF(F10&lt;&gt;"",ROWS($I$3:J10),"")</f>
        <v/>
      </c>
      <c r="L10" s="1" t="str">
        <f>IF(G10&lt;&gt;"",ROWS($I$3:K10),"")</f>
        <v/>
      </c>
      <c r="M10" s="1">
        <f>IF(H10&lt;&gt;"",ROWS($I$3:L10),"")</f>
        <v>8</v>
      </c>
      <c r="N10" s="19" t="e">
        <f>INDEX($C$3:$C$52,SMALL($J$3:$J$52,ROWS($S$3:S10)+$B$6-1))</f>
        <v>#NUM!</v>
      </c>
      <c r="O10" s="4" t="str">
        <f>IFERROR(IF(INDEX(E$3:E$52,SMALL(J$3:J$52,ROWS($N$3:N10)+$B$6-1))&lt;&gt;"",CHAR(149)&amp; " "&amp;INDEX(E$3:E$52,SMALL(J$3:J$52,ROWS($N$3:N10)+$B$6-1)),""),"")</f>
        <v/>
      </c>
      <c r="P10" s="4" t="str">
        <f>IFERROR(IF(INDEX(F$3:F$52,SMALL(K$3:K$52,ROWS($N$3:O10)+$B$7-1))&lt;&gt;"",CHAR(149)&amp; " "&amp;INDEX(F$3:F$52,SMALL(K$3:K$52,ROWS($N$3:O10)+$B$7-1)),""),"")</f>
        <v/>
      </c>
      <c r="Q10" s="4" t="str">
        <f>IFERROR(IF(INDEX(G$3:G$52,SMALL(L$3:L$52,ROWS($N$3:P10)+$B$8-1))&lt;&gt;"",CHAR(149)&amp; " "&amp;INDEX(G$3:G$52,SMALL(L$3:L$52,ROWS($N$3:P10)+$B$8-1)),""),"")</f>
        <v/>
      </c>
      <c r="R10" s="4" t="str">
        <f>IFERROR(IF(INDEX(H$3:H$52,SMALL(M$3:M$52,ROWS($N$3:Q10)+$B$9-1))&lt;&gt;"",CHAR(149)&amp; " "&amp;INDEX(H$3:H$52,SMALL(M$3:M$52,ROWS($N$3:Q10)+$B$9-1)),""),"")</f>
        <v/>
      </c>
    </row>
    <row r="11" spans="1:18">
      <c r="C11" t="b">
        <f>IF('To Do List Sorted'!$E11=Sheet2!$A$15,TRUE,FALSE)</f>
        <v>0</v>
      </c>
      <c r="E11" s="1" t="str">
        <f>IF(AND('To Do List Sorted'!C11="Yes",'To Do List Sorted'!D11="Yes"),'To Do List Sorted'!B11,"")</f>
        <v/>
      </c>
      <c r="F11" s="1" t="str">
        <f>IF(AND('To Do List Sorted'!C11="Yes",'To Do List Sorted'!D11="No"),'To Do List Sorted'!B11,"")</f>
        <v/>
      </c>
      <c r="G11" s="1" t="str">
        <f>IF(AND('To Do List Sorted'!C11="No",'To Do List Sorted'!D11="Yes"),'To Do List Sorted'!B11,"")</f>
        <v/>
      </c>
      <c r="H11" s="1" t="str">
        <f>IF(AND('To Do List Sorted'!C11="No",'To Do List Sorted'!D11="No"),'To Do List Sorted'!B11,"")</f>
        <v/>
      </c>
      <c r="J11" s="1" t="str">
        <f>IF(E11&lt;&gt;"",ROWS($I$3:I11),"")</f>
        <v/>
      </c>
      <c r="K11" s="1" t="str">
        <f>IF(F11&lt;&gt;"",ROWS($I$3:J11),"")</f>
        <v/>
      </c>
      <c r="L11" s="1" t="str">
        <f>IF(G11&lt;&gt;"",ROWS($I$3:K11),"")</f>
        <v/>
      </c>
      <c r="M11" s="1" t="str">
        <f>IF(H11&lt;&gt;"",ROWS($I$3:L11),"")</f>
        <v/>
      </c>
      <c r="O11" s="4" t="str">
        <f>IFERROR(IF(INDEX(E$3:E$52,SMALL(J$3:J$52,ROWS($N$3:N11)+$B$6-1))&lt;&gt;"",CHAR(149)&amp; " "&amp;INDEX(E$3:E$52,SMALL(J$3:J$52,ROWS($N$3:N11)+$B$6-1)),""),"")</f>
        <v/>
      </c>
      <c r="P11" s="4" t="str">
        <f>IFERROR(IF(INDEX(F$3:F$52,SMALL(K$3:K$52,ROWS($N$3:O11)+$B$7-1))&lt;&gt;"",CHAR(149)&amp; " "&amp;INDEX(F$3:F$52,SMALL(K$3:K$52,ROWS($N$3:O11)+$B$7-1)),""),"")</f>
        <v/>
      </c>
      <c r="Q11" s="4" t="str">
        <f>IFERROR(IF(INDEX(G$3:G$52,SMALL(L$3:L$52,ROWS($N$3:P11)+$B$8-1))&lt;&gt;"",CHAR(149)&amp; " "&amp;INDEX(G$3:G$52,SMALL(L$3:L$52,ROWS($N$3:P11)+$B$8-1)),""),"")</f>
        <v/>
      </c>
      <c r="R11" s="4" t="str">
        <f>IFERROR(IF(INDEX(H$3:H$52,SMALL(M$3:M$52,ROWS($N$3:Q11)+$B$9-1))&lt;&gt;"",CHAR(149)&amp; " "&amp;INDEX(H$3:H$52,SMALL(M$3:M$52,ROWS($N$3:Q11)+$B$9-1)),""),"")</f>
        <v/>
      </c>
    </row>
    <row r="12" spans="1:18">
      <c r="A12" t="s">
        <v>16</v>
      </c>
      <c r="C12" t="b">
        <f>IF('To Do List Sorted'!$E12=Sheet2!$A$15,TRUE,FALSE)</f>
        <v>0</v>
      </c>
      <c r="E12" s="1" t="str">
        <f>IF(AND('To Do List Sorted'!C12="Yes",'To Do List Sorted'!D12="Yes"),'To Do List Sorted'!B12,"")</f>
        <v/>
      </c>
      <c r="F12" s="1" t="str">
        <f>IF(AND('To Do List Sorted'!C12="Yes",'To Do List Sorted'!D12="No"),'To Do List Sorted'!B12,"")</f>
        <v/>
      </c>
      <c r="G12" s="1" t="str">
        <f>IF(AND('To Do List Sorted'!C12="No",'To Do List Sorted'!D12="Yes"),'To Do List Sorted'!B12,"")</f>
        <v/>
      </c>
      <c r="H12" s="1" t="str">
        <f>IF(AND('To Do List Sorted'!C12="No",'To Do List Sorted'!D12="No"),'To Do List Sorted'!B12,"")</f>
        <v/>
      </c>
      <c r="J12" s="1" t="str">
        <f>IF(E12&lt;&gt;"",ROWS($I$3:I12),"")</f>
        <v/>
      </c>
      <c r="K12" s="1" t="str">
        <f>IF(F12&lt;&gt;"",ROWS($I$3:J12),"")</f>
        <v/>
      </c>
      <c r="L12" s="1" t="str">
        <f>IF(G12&lt;&gt;"",ROWS($I$3:K12),"")</f>
        <v/>
      </c>
      <c r="M12" s="1" t="str">
        <f>IF(H12&lt;&gt;"",ROWS($I$3:L12),"")</f>
        <v/>
      </c>
      <c r="O12" s="4" t="str">
        <f>IFERROR(IF(INDEX(E$3:E$52,SMALL(J$3:J$52,ROWS($N$3:N12)+$B$6-1))&lt;&gt;"",CHAR(149)&amp; " "&amp;INDEX(E$3:E$52,SMALL(J$3:J$52,ROWS($N$3:N12)+$B$6-1)),""),"")</f>
        <v/>
      </c>
      <c r="P12" s="4" t="str">
        <f>IFERROR(IF(INDEX(F$3:F$52,SMALL(K$3:K$52,ROWS($N$3:O12)+$B$7-1))&lt;&gt;"",CHAR(149)&amp; " "&amp;INDEX(F$3:F$52,SMALL(K$3:K$52,ROWS($N$3:O12)+$B$7-1)),""),"")</f>
        <v/>
      </c>
      <c r="Q12" s="4" t="str">
        <f>IFERROR(IF(INDEX(G$3:G$52,SMALL(L$3:L$52,ROWS($N$3:P12)+$B$8-1))&lt;&gt;"",CHAR(149)&amp; " "&amp;INDEX(G$3:G$52,SMALL(L$3:L$52,ROWS($N$3:P12)+$B$8-1)),""),"")</f>
        <v/>
      </c>
      <c r="R12" s="4" t="str">
        <f>IFERROR(IF(INDEX(H$3:H$52,SMALL(M$3:M$52,ROWS($N$3:Q12)+$B$9-1))&lt;&gt;"",CHAR(149)&amp; " "&amp;INDEX(H$3:H$52,SMALL(M$3:M$52,ROWS($N$3:Q12)+$B$9-1)),""),"")</f>
        <v/>
      </c>
    </row>
    <row r="13" spans="1:18">
      <c r="A13" t="s">
        <v>14</v>
      </c>
      <c r="C13" t="b">
        <f>IF('To Do List Sorted'!$E13=Sheet2!$A$15,TRUE,FALSE)</f>
        <v>0</v>
      </c>
      <c r="E13" s="1" t="str">
        <f>IF(AND('To Do List Sorted'!C13="Yes",'To Do List Sorted'!D13="Yes"),'To Do List Sorted'!B13,"")</f>
        <v/>
      </c>
      <c r="F13" s="1" t="str">
        <f>IF(AND('To Do List Sorted'!C13="Yes",'To Do List Sorted'!D13="No"),'To Do List Sorted'!B13,"")</f>
        <v/>
      </c>
      <c r="G13" s="1" t="str">
        <f>IF(AND('To Do List Sorted'!C13="No",'To Do List Sorted'!D13="Yes"),'To Do List Sorted'!B13,"")</f>
        <v/>
      </c>
      <c r="H13" s="1" t="str">
        <f>IF(AND('To Do List Sorted'!C13="No",'To Do List Sorted'!D13="No"),'To Do List Sorted'!B13,"")</f>
        <v/>
      </c>
      <c r="J13" s="1" t="str">
        <f>IF(E13&lt;&gt;"",ROWS($I$3:I13),"")</f>
        <v/>
      </c>
      <c r="K13" s="1" t="str">
        <f>IF(F13&lt;&gt;"",ROWS($I$3:J13),"")</f>
        <v/>
      </c>
      <c r="L13" s="1" t="str">
        <f>IF(G13&lt;&gt;"",ROWS($I$3:K13),"")</f>
        <v/>
      </c>
      <c r="M13" s="1" t="str">
        <f>IF(H13&lt;&gt;"",ROWS($I$3:L13),"")</f>
        <v/>
      </c>
      <c r="O13" s="4" t="str">
        <f>IFERROR(IF(INDEX(E$3:E$52,SMALL(J$3:J$52,ROWS($N$3:N13)+$B$6-1))&lt;&gt;"",CHAR(149)&amp; " "&amp;INDEX(E$3:E$52,SMALL(J$3:J$52,ROWS($N$3:N13)+$B$6-1)),""),"")</f>
        <v/>
      </c>
      <c r="P13" s="4" t="str">
        <f>IFERROR(IF(INDEX(F$3:F$52,SMALL(K$3:K$52,ROWS($N$3:O13)+$B$7-1))&lt;&gt;"",CHAR(149)&amp; " "&amp;INDEX(F$3:F$52,SMALL(K$3:K$52,ROWS($N$3:O13)+$B$7-1)),""),"")</f>
        <v/>
      </c>
      <c r="Q13" s="4" t="str">
        <f>IFERROR(IF(INDEX(G$3:G$52,SMALL(L$3:L$52,ROWS($N$3:P13)+$B$8-1))&lt;&gt;"",CHAR(149)&amp; " "&amp;INDEX(G$3:G$52,SMALL(L$3:L$52,ROWS($N$3:P13)+$B$8-1)),""),"")</f>
        <v/>
      </c>
      <c r="R13" s="4" t="str">
        <f>IFERROR(IF(INDEX(H$3:H$52,SMALL(M$3:M$52,ROWS($N$3:Q13)+$B$9-1))&lt;&gt;"",CHAR(149)&amp; " "&amp;INDEX(H$3:H$52,SMALL(M$3:M$52,ROWS($N$3:Q13)+$B$9-1)),""),"")</f>
        <v/>
      </c>
    </row>
    <row r="14" spans="1:18">
      <c r="A14" t="s">
        <v>15</v>
      </c>
      <c r="C14" t="b">
        <f>IF('To Do List Sorted'!$E14=Sheet2!$A$15,TRUE,FALSE)</f>
        <v>0</v>
      </c>
      <c r="E14" s="1" t="str">
        <f>IF(AND('To Do List Sorted'!C14="Yes",'To Do List Sorted'!D14="Yes"),'To Do List Sorted'!B14,"")</f>
        <v/>
      </c>
      <c r="F14" s="1" t="str">
        <f>IF(AND('To Do List Sorted'!C14="Yes",'To Do List Sorted'!D14="No"),'To Do List Sorted'!B14,"")</f>
        <v/>
      </c>
      <c r="G14" s="1" t="str">
        <f>IF(AND('To Do List Sorted'!C14="No",'To Do List Sorted'!D14="Yes"),'To Do List Sorted'!B14,"")</f>
        <v/>
      </c>
      <c r="H14" s="1" t="str">
        <f>IF(AND('To Do List Sorted'!C14="No",'To Do List Sorted'!D14="No"),'To Do List Sorted'!B14,"")</f>
        <v/>
      </c>
      <c r="J14" s="1" t="str">
        <f>IF(E14&lt;&gt;"",ROWS($I$3:I14),"")</f>
        <v/>
      </c>
      <c r="K14" s="1" t="str">
        <f>IF(F14&lt;&gt;"",ROWS($I$3:J14),"")</f>
        <v/>
      </c>
      <c r="L14" s="1" t="str">
        <f>IF(G14&lt;&gt;"",ROWS($I$3:K14),"")</f>
        <v/>
      </c>
      <c r="M14" s="1" t="str">
        <f>IF(H14&lt;&gt;"",ROWS($I$3:L14),"")</f>
        <v/>
      </c>
      <c r="O14" s="4" t="str">
        <f>IFERROR(IF(INDEX(E$3:E$52,SMALL(J$3:J$52,ROWS($N$3:N14)+$B$6-1))&lt;&gt;"",CHAR(149)&amp; " "&amp;INDEX(E$3:E$52,SMALL(J$3:J$52,ROWS($N$3:N14)+$B$6-1)),""),"")</f>
        <v/>
      </c>
      <c r="P14" s="4" t="str">
        <f>IFERROR(IF(INDEX(F$3:F$52,SMALL(K$3:K$52,ROWS($N$3:O14)+$B$7-1))&lt;&gt;"",CHAR(149)&amp; " "&amp;INDEX(F$3:F$52,SMALL(K$3:K$52,ROWS($N$3:O14)+$B$7-1)),""),"")</f>
        <v/>
      </c>
      <c r="Q14" s="4" t="str">
        <f>IFERROR(IF(INDEX(G$3:G$52,SMALL(L$3:L$52,ROWS($N$3:P14)+$B$8-1))&lt;&gt;"",CHAR(149)&amp; " "&amp;INDEX(G$3:G$52,SMALL(L$3:L$52,ROWS($N$3:P14)+$B$8-1)),""),"")</f>
        <v/>
      </c>
      <c r="R14" s="4" t="str">
        <f>IFERROR(IF(INDEX(H$3:H$52,SMALL(M$3:M$52,ROWS($N$3:Q14)+$B$9-1))&lt;&gt;"",CHAR(149)&amp; " "&amp;INDEX(H$3:H$52,SMALL(M$3:M$52,ROWS($N$3:Q14)+$B$9-1)),""),"")</f>
        <v/>
      </c>
    </row>
    <row r="15" spans="1:18">
      <c r="A15" t="s">
        <v>13</v>
      </c>
      <c r="C15" t="b">
        <f>IF('To Do List Sorted'!$E15=Sheet2!$A$15,TRUE,FALSE)</f>
        <v>0</v>
      </c>
      <c r="E15" s="1" t="str">
        <f>IF(AND('To Do List Sorted'!C15="Yes",'To Do List Sorted'!D15="Yes"),'To Do List Sorted'!B15,"")</f>
        <v/>
      </c>
      <c r="F15" s="1" t="str">
        <f>IF(AND('To Do List Sorted'!C15="Yes",'To Do List Sorted'!D15="No"),'To Do List Sorted'!B15,"")</f>
        <v/>
      </c>
      <c r="G15" s="1" t="str">
        <f>IF(AND('To Do List Sorted'!C15="No",'To Do List Sorted'!D15="Yes"),'To Do List Sorted'!B15,"")</f>
        <v/>
      </c>
      <c r="H15" s="1" t="str">
        <f>IF(AND('To Do List Sorted'!C15="No",'To Do List Sorted'!D15="No"),'To Do List Sorted'!B15,"")</f>
        <v/>
      </c>
      <c r="J15" s="1" t="str">
        <f>IF(E15&lt;&gt;"",ROWS($I$3:I15),"")</f>
        <v/>
      </c>
      <c r="K15" s="1" t="str">
        <f>IF(F15&lt;&gt;"",ROWS($I$3:J15),"")</f>
        <v/>
      </c>
      <c r="L15" s="1" t="str">
        <f>IF(G15&lt;&gt;"",ROWS($I$3:K15),"")</f>
        <v/>
      </c>
      <c r="M15" s="1" t="str">
        <f>IF(H15&lt;&gt;"",ROWS($I$3:L15),"")</f>
        <v/>
      </c>
      <c r="O15" s="4" t="str">
        <f>IFERROR(IF(INDEX(E$3:E$52,SMALL(J$3:J$52,ROWS($N$3:N15)+$B$6-1))&lt;&gt;"",CHAR(149)&amp; " "&amp;INDEX(E$3:E$52,SMALL(J$3:J$52,ROWS($N$3:N15)+$B$6-1)),""),"")</f>
        <v/>
      </c>
      <c r="P15" s="4" t="str">
        <f>IFERROR(IF(INDEX(F$3:F$52,SMALL(K$3:K$52,ROWS($N$3:O15)+$B$7-1))&lt;&gt;"",CHAR(149)&amp; " "&amp;INDEX(F$3:F$52,SMALL(K$3:K$52,ROWS($N$3:O15)+$B$7-1)),""),"")</f>
        <v/>
      </c>
      <c r="Q15" s="4" t="str">
        <f>IFERROR(IF(INDEX(G$3:G$52,SMALL(L$3:L$52,ROWS($N$3:P15)+$B$8-1))&lt;&gt;"",CHAR(149)&amp; " "&amp;INDEX(G$3:G$52,SMALL(L$3:L$52,ROWS($N$3:P15)+$B$8-1)),""),"")</f>
        <v/>
      </c>
      <c r="R15" s="4" t="str">
        <f>IFERROR(IF(INDEX(H$3:H$52,SMALL(M$3:M$52,ROWS($N$3:Q15)+$B$9-1))&lt;&gt;"",CHAR(149)&amp; " "&amp;INDEX(H$3:H$52,SMALL(M$3:M$52,ROWS($N$3:Q15)+$B$9-1)),""),"")</f>
        <v/>
      </c>
    </row>
    <row r="16" spans="1:18">
      <c r="C16" t="b">
        <f>IF('To Do List Sorted'!$E16=Sheet2!$A$15,TRUE,FALSE)</f>
        <v>0</v>
      </c>
      <c r="E16" s="1" t="str">
        <f>IF(AND('To Do List Sorted'!C16="Yes",'To Do List Sorted'!D16="Yes"),'To Do List Sorted'!B16,"")</f>
        <v/>
      </c>
      <c r="F16" s="1" t="str">
        <f>IF(AND('To Do List Sorted'!C16="Yes",'To Do List Sorted'!D16="No"),'To Do List Sorted'!B16,"")</f>
        <v/>
      </c>
      <c r="G16" s="1" t="str">
        <f>IF(AND('To Do List Sorted'!C16="No",'To Do List Sorted'!D16="Yes"),'To Do List Sorted'!B16,"")</f>
        <v/>
      </c>
      <c r="H16" s="1" t="str">
        <f>IF(AND('To Do List Sorted'!C16="No",'To Do List Sorted'!D16="No"),'To Do List Sorted'!B16,"")</f>
        <v/>
      </c>
      <c r="J16" s="1" t="str">
        <f>IF(E16&lt;&gt;"",ROWS($I$3:I16),"")</f>
        <v/>
      </c>
      <c r="K16" s="1" t="str">
        <f>IF(F16&lt;&gt;"",ROWS($I$3:J16),"")</f>
        <v/>
      </c>
      <c r="L16" s="1" t="str">
        <f>IF(G16&lt;&gt;"",ROWS($I$3:K16),"")</f>
        <v/>
      </c>
      <c r="M16" s="1" t="str">
        <f>IF(H16&lt;&gt;"",ROWS($I$3:L16),"")</f>
        <v/>
      </c>
      <c r="O16" s="4" t="str">
        <f>IFERROR(IF(INDEX(E$3:E$52,SMALL(J$3:J$52,ROWS($N$3:N16)+$B$6-1))&lt;&gt;"",CHAR(149)&amp; " "&amp;INDEX(E$3:E$52,SMALL(J$3:J$52,ROWS($N$3:N16)+$B$6-1)),""),"")</f>
        <v/>
      </c>
      <c r="P16" s="4" t="str">
        <f>IFERROR(IF(INDEX(F$3:F$52,SMALL(K$3:K$52,ROWS($N$3:O16)+$B$7-1))&lt;&gt;"",CHAR(149)&amp; " "&amp;INDEX(F$3:F$52,SMALL(K$3:K$52,ROWS($N$3:O16)+$B$7-1)),""),"")</f>
        <v/>
      </c>
      <c r="Q16" s="4" t="str">
        <f>IFERROR(IF(INDEX(G$3:G$52,SMALL(L$3:L$52,ROWS($N$3:P16)+$B$8-1))&lt;&gt;"",CHAR(149)&amp; " "&amp;INDEX(G$3:G$52,SMALL(L$3:L$52,ROWS($N$3:P16)+$B$8-1)),""),"")</f>
        <v/>
      </c>
      <c r="R16" s="4" t="str">
        <f>IFERROR(IF(INDEX(H$3:H$52,SMALL(M$3:M$52,ROWS($N$3:Q16)+$B$9-1))&lt;&gt;"",CHAR(149)&amp; " "&amp;INDEX(H$3:H$52,SMALL(M$3:M$52,ROWS($N$3:Q16)+$B$9-1)),""),"")</f>
        <v/>
      </c>
    </row>
    <row r="17" spans="1:18">
      <c r="C17" t="b">
        <f>IF('To Do List Sorted'!$E17=Sheet2!$A$15,TRUE,FALSE)</f>
        <v>0</v>
      </c>
      <c r="E17" s="1" t="str">
        <f>IF(AND('To Do List Sorted'!C17="Yes",'To Do List Sorted'!D17="Yes"),'To Do List Sorted'!B17,"")</f>
        <v/>
      </c>
      <c r="F17" s="1" t="str">
        <f>IF(AND('To Do List Sorted'!C17="Yes",'To Do List Sorted'!D17="No"),'To Do List Sorted'!B17,"")</f>
        <v/>
      </c>
      <c r="G17" s="1" t="str">
        <f>IF(AND('To Do List Sorted'!C17="No",'To Do List Sorted'!D17="Yes"),'To Do List Sorted'!B17,"")</f>
        <v/>
      </c>
      <c r="H17" s="1" t="str">
        <f>IF(AND('To Do List Sorted'!C17="No",'To Do List Sorted'!D17="No"),'To Do List Sorted'!B17,"")</f>
        <v/>
      </c>
      <c r="J17" s="1" t="str">
        <f>IF(E17&lt;&gt;"",ROWS($I$3:I17),"")</f>
        <v/>
      </c>
      <c r="K17" s="1" t="str">
        <f>IF(F17&lt;&gt;"",ROWS($I$3:J17),"")</f>
        <v/>
      </c>
      <c r="L17" s="1" t="str">
        <f>IF(G17&lt;&gt;"",ROWS($I$3:K17),"")</f>
        <v/>
      </c>
      <c r="M17" s="1" t="str">
        <f>IF(H17&lt;&gt;"",ROWS($I$3:L17),"")</f>
        <v/>
      </c>
      <c r="O17" s="4" t="str">
        <f>IFERROR(IF(INDEX(E$3:E$52,SMALL(J$3:J$52,ROWS($N$3:N17)+$B$6-1))&lt;&gt;"",CHAR(149)&amp; " "&amp;INDEX(E$3:E$52,SMALL(J$3:J$52,ROWS($N$3:N17)+$B$6-1)),""),"")</f>
        <v/>
      </c>
      <c r="P17" s="4" t="str">
        <f>IFERROR(IF(INDEX(F$3:F$52,SMALL(K$3:K$52,ROWS($N$3:O17)+$B$7-1))&lt;&gt;"",CHAR(149)&amp; " "&amp;INDEX(F$3:F$52,SMALL(K$3:K$52,ROWS($N$3:O17)+$B$7-1)),""),"")</f>
        <v/>
      </c>
      <c r="Q17" s="4" t="str">
        <f>IFERROR(IF(INDEX(G$3:G$52,SMALL(L$3:L$52,ROWS($N$3:P17)+$B$8-1))&lt;&gt;"",CHAR(149)&amp; " "&amp;INDEX(G$3:G$52,SMALL(L$3:L$52,ROWS($N$3:P17)+$B$8-1)),""),"")</f>
        <v/>
      </c>
      <c r="R17" s="4" t="str">
        <f>IFERROR(IF(INDEX(H$3:H$52,SMALL(M$3:M$52,ROWS($N$3:Q17)+$B$9-1))&lt;&gt;"",CHAR(149)&amp; " "&amp;INDEX(H$3:H$52,SMALL(M$3:M$52,ROWS($N$3:Q17)+$B$9-1)),""),"")</f>
        <v/>
      </c>
    </row>
    <row r="18" spans="1:18">
      <c r="A18" t="s">
        <v>3</v>
      </c>
      <c r="C18" t="b">
        <f>IF('To Do List Sorted'!$E18=Sheet2!$A$15,TRUE,FALSE)</f>
        <v>0</v>
      </c>
      <c r="E18" s="1" t="str">
        <f>IF(AND('To Do List Sorted'!C18="Yes",'To Do List Sorted'!D18="Yes"),'To Do List Sorted'!B18,"")</f>
        <v/>
      </c>
      <c r="F18" s="1" t="str">
        <f>IF(AND('To Do List Sorted'!C18="Yes",'To Do List Sorted'!D18="No"),'To Do List Sorted'!B18,"")</f>
        <v/>
      </c>
      <c r="G18" s="1" t="str">
        <f>IF(AND('To Do List Sorted'!C18="No",'To Do List Sorted'!D18="Yes"),'To Do List Sorted'!B18,"")</f>
        <v/>
      </c>
      <c r="H18" s="1" t="str">
        <f>IF(AND('To Do List Sorted'!C18="No",'To Do List Sorted'!D18="No"),'To Do List Sorted'!B18,"")</f>
        <v/>
      </c>
      <c r="J18" s="1" t="str">
        <f>IF(E18&lt;&gt;"",ROWS($I$3:I18),"")</f>
        <v/>
      </c>
      <c r="K18" s="1" t="str">
        <f>IF(F18&lt;&gt;"",ROWS($I$3:J18),"")</f>
        <v/>
      </c>
      <c r="L18" s="1" t="str">
        <f>IF(G18&lt;&gt;"",ROWS($I$3:K18),"")</f>
        <v/>
      </c>
      <c r="M18" s="1" t="str">
        <f>IF(H18&lt;&gt;"",ROWS($I$3:L18),"")</f>
        <v/>
      </c>
      <c r="O18" s="4" t="str">
        <f>IFERROR(IF(INDEX(E$3:E$52,SMALL(J$3:J$52,ROWS($N$3:N18)+$B$6-1))&lt;&gt;"",CHAR(149)&amp; " "&amp;INDEX(E$3:E$52,SMALL(J$3:J$52,ROWS($N$3:N18)+$B$6-1)),""),"")</f>
        <v/>
      </c>
      <c r="P18" s="4" t="str">
        <f>IFERROR(IF(INDEX(F$3:F$52,SMALL(K$3:K$52,ROWS($N$3:O18)+$B$7-1))&lt;&gt;"",CHAR(149)&amp; " "&amp;INDEX(F$3:F$52,SMALL(K$3:K$52,ROWS($N$3:O18)+$B$7-1)),""),"")</f>
        <v/>
      </c>
      <c r="Q18" s="4" t="str">
        <f>IFERROR(IF(INDEX(G$3:G$52,SMALL(L$3:L$52,ROWS($N$3:P18)+$B$8-1))&lt;&gt;"",CHAR(149)&amp; " "&amp;INDEX(G$3:G$52,SMALL(L$3:L$52,ROWS($N$3:P18)+$B$8-1)),""),"")</f>
        <v/>
      </c>
      <c r="R18" s="4" t="str">
        <f>IFERROR(IF(INDEX(H$3:H$52,SMALL(M$3:M$52,ROWS($N$3:Q18)+$B$9-1))&lt;&gt;"",CHAR(149)&amp; " "&amp;INDEX(H$3:H$52,SMALL(M$3:M$52,ROWS($N$3:Q18)+$B$9-1)),""),"")</f>
        <v/>
      </c>
    </row>
    <row r="19" spans="1:18">
      <c r="A19" t="s">
        <v>4</v>
      </c>
      <c r="C19" t="b">
        <f>IF('To Do List Sorted'!$E19=Sheet2!$A$15,TRUE,FALSE)</f>
        <v>0</v>
      </c>
      <c r="E19" s="1" t="str">
        <f>IF(AND('To Do List Sorted'!C19="Yes",'To Do List Sorted'!D19="Yes"),'To Do List Sorted'!B19,"")</f>
        <v/>
      </c>
      <c r="F19" s="1" t="str">
        <f>IF(AND('To Do List Sorted'!C19="Yes",'To Do List Sorted'!D19="No"),'To Do List Sorted'!B19,"")</f>
        <v/>
      </c>
      <c r="G19" s="1" t="str">
        <f>IF(AND('To Do List Sorted'!C19="No",'To Do List Sorted'!D19="Yes"),'To Do List Sorted'!B19,"")</f>
        <v/>
      </c>
      <c r="H19" s="1" t="str">
        <f>IF(AND('To Do List Sorted'!C19="No",'To Do List Sorted'!D19="No"),'To Do List Sorted'!B19,"")</f>
        <v/>
      </c>
      <c r="J19" s="1" t="str">
        <f>IF(E19&lt;&gt;"",ROWS($I$3:I19),"")</f>
        <v/>
      </c>
      <c r="K19" s="1" t="str">
        <f>IF(F19&lt;&gt;"",ROWS($I$3:J19),"")</f>
        <v/>
      </c>
      <c r="L19" s="1" t="str">
        <f>IF(G19&lt;&gt;"",ROWS($I$3:K19),"")</f>
        <v/>
      </c>
      <c r="M19" s="1" t="str">
        <f>IF(H19&lt;&gt;"",ROWS($I$3:L19),"")</f>
        <v/>
      </c>
      <c r="O19" s="4" t="str">
        <f>IFERROR(IF(INDEX(E$3:E$52,SMALL(J$3:J$52,ROWS($N$3:N19)+$B$6-1))&lt;&gt;"",CHAR(149)&amp; " "&amp;INDEX(E$3:E$52,SMALL(J$3:J$52,ROWS($N$3:N19)+$B$6-1)),""),"")</f>
        <v/>
      </c>
      <c r="P19" s="4" t="str">
        <f>IFERROR(IF(INDEX(F$3:F$52,SMALL(K$3:K$52,ROWS($N$3:O19)+$B$7-1))&lt;&gt;"",CHAR(149)&amp; " "&amp;INDEX(F$3:F$52,SMALL(K$3:K$52,ROWS($N$3:O19)+$B$7-1)),""),"")</f>
        <v/>
      </c>
      <c r="Q19" s="4" t="str">
        <f>IFERROR(IF(INDEX(G$3:G$52,SMALL(L$3:L$52,ROWS($N$3:P19)+$B$8-1))&lt;&gt;"",CHAR(149)&amp; " "&amp;INDEX(G$3:G$52,SMALL(L$3:L$52,ROWS($N$3:P19)+$B$8-1)),""),"")</f>
        <v/>
      </c>
      <c r="R19" s="4" t="str">
        <f>IFERROR(IF(INDEX(H$3:H$52,SMALL(M$3:M$52,ROWS($N$3:Q19)+$B$9-1))&lt;&gt;"",CHAR(149)&amp; " "&amp;INDEX(H$3:H$52,SMALL(M$3:M$52,ROWS($N$3:Q19)+$B$9-1)),""),"")</f>
        <v/>
      </c>
    </row>
    <row r="20" spans="1:18">
      <c r="C20" t="b">
        <f>IF('To Do List Sorted'!$E20=Sheet2!$A$15,TRUE,FALSE)</f>
        <v>0</v>
      </c>
      <c r="E20" s="1" t="str">
        <f>IF(AND('To Do List Sorted'!C20="Yes",'To Do List Sorted'!D20="Yes"),'To Do List Sorted'!B20,"")</f>
        <v/>
      </c>
      <c r="F20" s="1" t="str">
        <f>IF(AND('To Do List Sorted'!C20="Yes",'To Do List Sorted'!D20="No"),'To Do List Sorted'!B20,"")</f>
        <v/>
      </c>
      <c r="G20" s="1" t="str">
        <f>IF(AND('To Do List Sorted'!C20="No",'To Do List Sorted'!D20="Yes"),'To Do List Sorted'!B20,"")</f>
        <v/>
      </c>
      <c r="H20" s="1" t="str">
        <f>IF(AND('To Do List Sorted'!C20="No",'To Do List Sorted'!D20="No"),'To Do List Sorted'!B20,"")</f>
        <v/>
      </c>
      <c r="J20" s="1" t="str">
        <f>IF(E20&lt;&gt;"",ROWS($I$3:I20),"")</f>
        <v/>
      </c>
      <c r="K20" s="1" t="str">
        <f>IF(F20&lt;&gt;"",ROWS($I$3:J20),"")</f>
        <v/>
      </c>
      <c r="L20" s="1" t="str">
        <f>IF(G20&lt;&gt;"",ROWS($I$3:K20),"")</f>
        <v/>
      </c>
      <c r="M20" s="1" t="str">
        <f>IF(H20&lt;&gt;"",ROWS($I$3:L20),"")</f>
        <v/>
      </c>
      <c r="O20" s="4" t="str">
        <f>IFERROR(IF(INDEX(E$3:E$52,SMALL(J$3:J$52,ROWS($N$3:N20)+$B$6-1))&lt;&gt;"",CHAR(149)&amp; " "&amp;INDEX(E$3:E$52,SMALL(J$3:J$52,ROWS($N$3:N20)+$B$6-1)),""),"")</f>
        <v/>
      </c>
      <c r="P20" s="4" t="str">
        <f>IFERROR(IF(INDEX(F$3:F$52,SMALL(K$3:K$52,ROWS($N$3:O20)+$B$7-1))&lt;&gt;"",CHAR(149)&amp; " "&amp;INDEX(F$3:F$52,SMALL(K$3:K$52,ROWS($N$3:O20)+$B$7-1)),""),"")</f>
        <v/>
      </c>
      <c r="Q20" s="4" t="str">
        <f>IFERROR(IF(INDEX(G$3:G$52,SMALL(L$3:L$52,ROWS($N$3:P20)+$B$8-1))&lt;&gt;"",CHAR(149)&amp; " "&amp;INDEX(G$3:G$52,SMALL(L$3:L$52,ROWS($N$3:P20)+$B$8-1)),""),"")</f>
        <v/>
      </c>
      <c r="R20" s="4" t="str">
        <f>IFERROR(IF(INDEX(H$3:H$52,SMALL(M$3:M$52,ROWS($N$3:Q20)+$B$9-1))&lt;&gt;"",CHAR(149)&amp; " "&amp;INDEX(H$3:H$52,SMALL(M$3:M$52,ROWS($N$3:Q20)+$B$9-1)),""),"")</f>
        <v/>
      </c>
    </row>
    <row r="21" spans="1:18">
      <c r="C21" t="b">
        <f>IF('To Do List Sorted'!$E21=Sheet2!$A$15,TRUE,FALSE)</f>
        <v>0</v>
      </c>
      <c r="E21" s="1" t="str">
        <f>IF(AND('To Do List Sorted'!C21="Yes",'To Do List Sorted'!D21="Yes"),'To Do List Sorted'!B21,"")</f>
        <v/>
      </c>
      <c r="F21" s="1" t="str">
        <f>IF(AND('To Do List Sorted'!C21="Yes",'To Do List Sorted'!D21="No"),'To Do List Sorted'!B21,"")</f>
        <v/>
      </c>
      <c r="G21" s="1" t="str">
        <f>IF(AND('To Do List Sorted'!C21="No",'To Do List Sorted'!D21="Yes"),'To Do List Sorted'!B21,"")</f>
        <v/>
      </c>
      <c r="H21" s="1" t="str">
        <f>IF(AND('To Do List Sorted'!C21="No",'To Do List Sorted'!D21="No"),'To Do List Sorted'!B21,"")</f>
        <v/>
      </c>
      <c r="J21" s="1" t="str">
        <f>IF(E21&lt;&gt;"",ROWS($I$3:I21),"")</f>
        <v/>
      </c>
      <c r="K21" s="1" t="str">
        <f>IF(F21&lt;&gt;"",ROWS($I$3:J21),"")</f>
        <v/>
      </c>
      <c r="L21" s="1" t="str">
        <f>IF(G21&lt;&gt;"",ROWS($I$3:K21),"")</f>
        <v/>
      </c>
      <c r="M21" s="1" t="str">
        <f>IF(H21&lt;&gt;"",ROWS($I$3:L21),"")</f>
        <v/>
      </c>
      <c r="O21" s="4" t="str">
        <f>IFERROR(IF(INDEX(E$3:E$52,SMALL(J$3:J$52,ROWS($N$3:N21)+$B$6-1))&lt;&gt;"",CHAR(149)&amp; " "&amp;INDEX(E$3:E$52,SMALL(J$3:J$52,ROWS($N$3:N21)+$B$6-1)),""),"")</f>
        <v/>
      </c>
      <c r="P21" s="4" t="str">
        <f>IFERROR(IF(INDEX(F$3:F$52,SMALL(K$3:K$52,ROWS($N$3:O21)+$B$7-1))&lt;&gt;"",CHAR(149)&amp; " "&amp;INDEX(F$3:F$52,SMALL(K$3:K$52,ROWS($N$3:O21)+$B$7-1)),""),"")</f>
        <v/>
      </c>
      <c r="Q21" s="4" t="str">
        <f>IFERROR(IF(INDEX(G$3:G$52,SMALL(L$3:L$52,ROWS($N$3:P21)+$B$8-1))&lt;&gt;"",CHAR(149)&amp; " "&amp;INDEX(G$3:G$52,SMALL(L$3:L$52,ROWS($N$3:P21)+$B$8-1)),""),"")</f>
        <v/>
      </c>
      <c r="R21" s="4" t="str">
        <f>IFERROR(IF(INDEX(H$3:H$52,SMALL(M$3:M$52,ROWS($N$3:Q21)+$B$9-1))&lt;&gt;"",CHAR(149)&amp; " "&amp;INDEX(H$3:H$52,SMALL(M$3:M$52,ROWS($N$3:Q21)+$B$9-1)),""),"")</f>
        <v/>
      </c>
    </row>
    <row r="22" spans="1:18">
      <c r="C22" t="b">
        <f>IF('To Do List Sorted'!$E22=Sheet2!$A$15,TRUE,FALSE)</f>
        <v>0</v>
      </c>
      <c r="E22" s="1" t="str">
        <f>IF(AND('To Do List Sorted'!C22="Yes",'To Do List Sorted'!D22="Yes"),'To Do List Sorted'!B22,"")</f>
        <v/>
      </c>
      <c r="F22" s="1" t="str">
        <f>IF(AND('To Do List Sorted'!C22="Yes",'To Do List Sorted'!D22="No"),'To Do List Sorted'!B22,"")</f>
        <v/>
      </c>
      <c r="G22" s="1" t="str">
        <f>IF(AND('To Do List Sorted'!C22="No",'To Do List Sorted'!D22="Yes"),'To Do List Sorted'!B22,"")</f>
        <v/>
      </c>
      <c r="H22" s="1" t="str">
        <f>IF(AND('To Do List Sorted'!C22="No",'To Do List Sorted'!D22="No"),'To Do List Sorted'!B22,"")</f>
        <v/>
      </c>
      <c r="J22" s="1" t="str">
        <f>IF(E22&lt;&gt;"",ROWS($I$3:I22),"")</f>
        <v/>
      </c>
      <c r="K22" s="1" t="str">
        <f>IF(F22&lt;&gt;"",ROWS($I$3:J22),"")</f>
        <v/>
      </c>
      <c r="L22" s="1" t="str">
        <f>IF(G22&lt;&gt;"",ROWS($I$3:K22),"")</f>
        <v/>
      </c>
      <c r="M22" s="1" t="str">
        <f>IF(H22&lt;&gt;"",ROWS($I$3:L22),"")</f>
        <v/>
      </c>
      <c r="O22" s="2" t="str">
        <f>IFERROR(IF(INDEX(E$3:E$52,SMALL(J$3:J$52,ROWS($N$3:N22)+$B$6-1))&lt;&gt;"",CHAR(7)&amp; " "&amp;INDEX(E$3:E$52,SMALL(J$3:J$52,ROWS($N$3:N22)+$B$6-1)),""),"")</f>
        <v/>
      </c>
      <c r="P22" s="2" t="str">
        <f>IFERROR(IF(INDEX(F$3:F$52,SMALL(K$3:K$52,ROWS($N$3:O22)+$B$7-1))&lt;&gt;"",CHAR(7)&amp; " "&amp;INDEX(F$3:F$52,SMALL(K$3:K$52,ROWS($N$3:O22)+$B$7-1)),""),"")</f>
        <v/>
      </c>
      <c r="Q22" s="2" t="str">
        <f>IFERROR(IF(INDEX(G$3:G$52,SMALL(L$3:L$52,ROWS($N$3:P22)+$B$8-1))&lt;&gt;"",CHAR(7)&amp; " "&amp;INDEX(G$3:G$52,SMALL(L$3:L$52,ROWS($N$3:P22)+$B$8-1)),""),"")</f>
        <v/>
      </c>
      <c r="R22" s="2" t="str">
        <f>IFERROR(IF(INDEX(H$3:H$52,SMALL(M$3:M$52,ROWS($N$3:Q22)+$B$9-1))&lt;&gt;"",CHAR(7)&amp; " "&amp;INDEX(H$3:H$52,SMALL(M$3:M$52,ROWS($N$3:Q22)+$B$9-1)),""),"")</f>
        <v/>
      </c>
    </row>
    <row r="23" spans="1:18">
      <c r="C23" t="b">
        <f>IF('To Do List Sorted'!$E23=Sheet2!$A$15,TRUE,FALSE)</f>
        <v>0</v>
      </c>
      <c r="E23" s="1" t="str">
        <f>IF(AND('To Do List Sorted'!C23="Yes",'To Do List Sorted'!D23="Yes"),'To Do List Sorted'!B23,"")</f>
        <v/>
      </c>
      <c r="F23" s="1" t="str">
        <f>IF(AND('To Do List Sorted'!C23="Yes",'To Do List Sorted'!D23="No"),'To Do List Sorted'!B23,"")</f>
        <v/>
      </c>
      <c r="G23" s="1" t="str">
        <f>IF(AND('To Do List Sorted'!C23="No",'To Do List Sorted'!D23="Yes"),'To Do List Sorted'!B23,"")</f>
        <v/>
      </c>
      <c r="H23" s="1" t="str">
        <f>IF(AND('To Do List Sorted'!C23="No",'To Do List Sorted'!D23="No"),'To Do List Sorted'!B23,"")</f>
        <v/>
      </c>
      <c r="J23" s="1" t="str">
        <f>IF(E23&lt;&gt;"",ROWS($I$3:I23),"")</f>
        <v/>
      </c>
      <c r="K23" s="1" t="str">
        <f>IF(F23&lt;&gt;"",ROWS($I$3:J23),"")</f>
        <v/>
      </c>
      <c r="L23" s="1" t="str">
        <f>IF(G23&lt;&gt;"",ROWS($I$3:K23),"")</f>
        <v/>
      </c>
      <c r="M23" s="1" t="str">
        <f>IF(H23&lt;&gt;"",ROWS($I$3:L23),"")</f>
        <v/>
      </c>
      <c r="O23" s="2" t="str">
        <f>IFERROR(IF(INDEX(E$3:E$52,SMALL(J$3:J$52,ROWS($N$3:N23)+$B$6-1))&lt;&gt;"",CHAR(7)&amp; " "&amp;INDEX(E$3:E$52,SMALL(J$3:J$52,ROWS($N$3:N23)+$B$6-1)),""),"")</f>
        <v/>
      </c>
      <c r="P23" s="2" t="str">
        <f>IFERROR(IF(INDEX(F$3:F$52,SMALL(K$3:K$52,ROWS($N$3:O23)+$B$7-1))&lt;&gt;"",CHAR(7)&amp; " "&amp;INDEX(F$3:F$52,SMALL(K$3:K$52,ROWS($N$3:O23)+$B$7-1)),""),"")</f>
        <v/>
      </c>
      <c r="Q23" s="2" t="str">
        <f>IFERROR(IF(INDEX(G$3:G$52,SMALL(L$3:L$52,ROWS($N$3:P23)+$B$8-1))&lt;&gt;"",CHAR(7)&amp; " "&amp;INDEX(G$3:G$52,SMALL(L$3:L$52,ROWS($N$3:P23)+$B$8-1)),""),"")</f>
        <v/>
      </c>
      <c r="R23" s="2" t="str">
        <f>IFERROR(IF(INDEX(H$3:H$52,SMALL(M$3:M$52,ROWS($N$3:Q23)+$B$9-1))&lt;&gt;"",CHAR(7)&amp; " "&amp;INDEX(H$3:H$52,SMALL(M$3:M$52,ROWS($N$3:Q23)+$B$9-1)),""),"")</f>
        <v/>
      </c>
    </row>
    <row r="24" spans="1:18">
      <c r="C24" t="b">
        <f>IF('To Do List Sorted'!$E24=Sheet2!$A$15,TRUE,FALSE)</f>
        <v>0</v>
      </c>
      <c r="E24" s="1" t="str">
        <f>IF(AND('To Do List Sorted'!C24="Yes",'To Do List Sorted'!D24="Yes"),'To Do List Sorted'!B24,"")</f>
        <v/>
      </c>
      <c r="F24" s="1" t="str">
        <f>IF(AND('To Do List Sorted'!C24="Yes",'To Do List Sorted'!D24="No"),'To Do List Sorted'!B24,"")</f>
        <v/>
      </c>
      <c r="G24" s="1" t="str">
        <f>IF(AND('To Do List Sorted'!C24="No",'To Do List Sorted'!D24="Yes"),'To Do List Sorted'!B24,"")</f>
        <v/>
      </c>
      <c r="H24" s="1" t="str">
        <f>IF(AND('To Do List Sorted'!C24="No",'To Do List Sorted'!D24="No"),'To Do List Sorted'!B24,"")</f>
        <v/>
      </c>
      <c r="J24" s="1" t="str">
        <f>IF(E24&lt;&gt;"",ROWS($I$3:I24),"")</f>
        <v/>
      </c>
      <c r="K24" s="1" t="str">
        <f>IF(F24&lt;&gt;"",ROWS($I$3:J24),"")</f>
        <v/>
      </c>
      <c r="L24" s="1" t="str">
        <f>IF(G24&lt;&gt;"",ROWS($I$3:K24),"")</f>
        <v/>
      </c>
      <c r="M24" s="1" t="str">
        <f>IF(H24&lt;&gt;"",ROWS($I$3:L24),"")</f>
        <v/>
      </c>
      <c r="O24" s="2" t="str">
        <f>IFERROR(IF(INDEX(E$3:E$52,SMALL(J$3:J$52,ROWS($N$3:N24)+$B$6-1))&lt;&gt;"",CHAR(7)&amp; " "&amp;INDEX(E$3:E$52,SMALL(J$3:J$52,ROWS($N$3:N24)+$B$6-1)),""),"")</f>
        <v/>
      </c>
      <c r="P24" s="2" t="str">
        <f>IFERROR(IF(INDEX(F$3:F$52,SMALL(K$3:K$52,ROWS($N$3:O24)+$B$7-1))&lt;&gt;"",CHAR(7)&amp; " "&amp;INDEX(F$3:F$52,SMALL(K$3:K$52,ROWS($N$3:O24)+$B$7-1)),""),"")</f>
        <v/>
      </c>
      <c r="Q24" s="2" t="str">
        <f>IFERROR(IF(INDEX(G$3:G$52,SMALL(L$3:L$52,ROWS($N$3:P24)+$B$8-1))&lt;&gt;"",CHAR(7)&amp; " "&amp;INDEX(G$3:G$52,SMALL(L$3:L$52,ROWS($N$3:P24)+$B$8-1)),""),"")</f>
        <v/>
      </c>
      <c r="R24" s="2" t="str">
        <f>IFERROR(IF(INDEX(H$3:H$52,SMALL(M$3:M$52,ROWS($N$3:Q24)+$B$9-1))&lt;&gt;"",CHAR(7)&amp; " "&amp;INDEX(H$3:H$52,SMALL(M$3:M$52,ROWS($N$3:Q24)+$B$9-1)),""),"")</f>
        <v/>
      </c>
    </row>
    <row r="25" spans="1:18">
      <c r="C25" t="b">
        <f>IF('To Do List Sorted'!$E25=Sheet2!$A$15,TRUE,FALSE)</f>
        <v>0</v>
      </c>
      <c r="E25" s="1" t="str">
        <f>IF(AND('To Do List Sorted'!C25="Yes",'To Do List Sorted'!D25="Yes"),'To Do List Sorted'!B25,"")</f>
        <v/>
      </c>
      <c r="F25" s="1" t="str">
        <f>IF(AND('To Do List Sorted'!C25="Yes",'To Do List Sorted'!D25="No"),'To Do List Sorted'!B25,"")</f>
        <v/>
      </c>
      <c r="G25" s="1" t="str">
        <f>IF(AND('To Do List Sorted'!C25="No",'To Do List Sorted'!D25="Yes"),'To Do List Sorted'!B25,"")</f>
        <v/>
      </c>
      <c r="H25" s="1" t="str">
        <f>IF(AND('To Do List Sorted'!C25="No",'To Do List Sorted'!D25="No"),'To Do List Sorted'!B25,"")</f>
        <v/>
      </c>
      <c r="J25" s="1" t="str">
        <f>IF(E25&lt;&gt;"",ROWS($I$3:I25),"")</f>
        <v/>
      </c>
      <c r="K25" s="1" t="str">
        <f>IF(F25&lt;&gt;"",ROWS($I$3:J25),"")</f>
        <v/>
      </c>
      <c r="L25" s="1" t="str">
        <f>IF(G25&lt;&gt;"",ROWS($I$3:K25),"")</f>
        <v/>
      </c>
      <c r="M25" s="1" t="str">
        <f>IF(H25&lt;&gt;"",ROWS($I$3:L25),"")</f>
        <v/>
      </c>
      <c r="O25" s="2" t="str">
        <f>IFERROR(IF(INDEX(E$3:E$52,SMALL(J$3:J$52,ROWS($N$3:N25)+$B$6-1))&lt;&gt;"",CHAR(7)&amp; " "&amp;INDEX(E$3:E$52,SMALL(J$3:J$52,ROWS($N$3:N25)+$B$6-1)),""),"")</f>
        <v/>
      </c>
      <c r="P25" s="2" t="str">
        <f>IFERROR(IF(INDEX(F$3:F$52,SMALL(K$3:K$52,ROWS($N$3:O25)+$B$7-1))&lt;&gt;"",CHAR(7)&amp; " "&amp;INDEX(F$3:F$52,SMALL(K$3:K$52,ROWS($N$3:O25)+$B$7-1)),""),"")</f>
        <v/>
      </c>
      <c r="Q25" s="2" t="str">
        <f>IFERROR(IF(INDEX(G$3:G$52,SMALL(L$3:L$52,ROWS($N$3:P25)+$B$8-1))&lt;&gt;"",CHAR(7)&amp; " "&amp;INDEX(G$3:G$52,SMALL(L$3:L$52,ROWS($N$3:P25)+$B$8-1)),""),"")</f>
        <v/>
      </c>
      <c r="R25" s="2" t="str">
        <f>IFERROR(IF(INDEX(H$3:H$52,SMALL(M$3:M$52,ROWS($N$3:Q25)+$B$9-1))&lt;&gt;"",CHAR(7)&amp; " "&amp;INDEX(H$3:H$52,SMALL(M$3:M$52,ROWS($N$3:Q25)+$B$9-1)),""),"")</f>
        <v/>
      </c>
    </row>
    <row r="26" spans="1:18">
      <c r="C26" t="b">
        <f>IF('To Do List Sorted'!$E26=Sheet2!$A$15,TRUE,FALSE)</f>
        <v>0</v>
      </c>
      <c r="E26" s="1" t="str">
        <f>IF(AND('To Do List Sorted'!C26="Yes",'To Do List Sorted'!D26="Yes"),'To Do List Sorted'!B26,"")</f>
        <v/>
      </c>
      <c r="F26" s="1" t="str">
        <f>IF(AND('To Do List Sorted'!C26="Yes",'To Do List Sorted'!D26="No"),'To Do List Sorted'!B26,"")</f>
        <v/>
      </c>
      <c r="G26" s="1" t="str">
        <f>IF(AND('To Do List Sorted'!C26="No",'To Do List Sorted'!D26="Yes"),'To Do List Sorted'!B26,"")</f>
        <v/>
      </c>
      <c r="H26" s="1" t="str">
        <f>IF(AND('To Do List Sorted'!C26="No",'To Do List Sorted'!D26="No"),'To Do List Sorted'!B26,"")</f>
        <v/>
      </c>
      <c r="J26" s="1" t="str">
        <f>IF(E26&lt;&gt;"",ROWS($I$3:I26),"")</f>
        <v/>
      </c>
      <c r="K26" s="1" t="str">
        <f>IF(F26&lt;&gt;"",ROWS($I$3:J26),"")</f>
        <v/>
      </c>
      <c r="L26" s="1" t="str">
        <f>IF(G26&lt;&gt;"",ROWS($I$3:K26),"")</f>
        <v/>
      </c>
      <c r="M26" s="1" t="str">
        <f>IF(H26&lt;&gt;"",ROWS($I$3:L26),"")</f>
        <v/>
      </c>
      <c r="O26" s="2" t="str">
        <f>IFERROR(IF(INDEX(E$3:E$52,SMALL(J$3:J$52,ROWS($N$3:N26)+$B$6-1))&lt;&gt;"",CHAR(7)&amp; " "&amp;INDEX(E$3:E$52,SMALL(J$3:J$52,ROWS($N$3:N26)+$B$6-1)),""),"")</f>
        <v/>
      </c>
      <c r="P26" s="2" t="str">
        <f>IFERROR(IF(INDEX(F$3:F$52,SMALL(K$3:K$52,ROWS($N$3:O26)+$B$7-1))&lt;&gt;"",CHAR(7)&amp; " "&amp;INDEX(F$3:F$52,SMALL(K$3:K$52,ROWS($N$3:O26)+$B$7-1)),""),"")</f>
        <v/>
      </c>
      <c r="Q26" s="2" t="str">
        <f>IFERROR(IF(INDEX(G$3:G$52,SMALL(L$3:L$52,ROWS($N$3:P26)+$B$8-1))&lt;&gt;"",CHAR(7)&amp; " "&amp;INDEX(G$3:G$52,SMALL(L$3:L$52,ROWS($N$3:P26)+$B$8-1)),""),"")</f>
        <v/>
      </c>
      <c r="R26" s="2" t="str">
        <f>IFERROR(IF(INDEX(H$3:H$52,SMALL(M$3:M$52,ROWS($N$3:Q26)+$B$9-1))&lt;&gt;"",CHAR(7)&amp; " "&amp;INDEX(H$3:H$52,SMALL(M$3:M$52,ROWS($N$3:Q26)+$B$9-1)),""),"")</f>
        <v/>
      </c>
    </row>
    <row r="27" spans="1:18">
      <c r="C27" t="b">
        <f>IF('To Do List Sorted'!$E27=Sheet2!$A$15,TRUE,FALSE)</f>
        <v>0</v>
      </c>
      <c r="E27" s="1" t="str">
        <f>IF(AND('To Do List Sorted'!C27="Yes",'To Do List Sorted'!D27="Yes"),'To Do List Sorted'!B27,"")</f>
        <v/>
      </c>
      <c r="F27" s="1" t="str">
        <f>IF(AND('To Do List Sorted'!C27="Yes",'To Do List Sorted'!D27="No"),'To Do List Sorted'!B27,"")</f>
        <v/>
      </c>
      <c r="G27" s="1" t="str">
        <f>IF(AND('To Do List Sorted'!C27="No",'To Do List Sorted'!D27="Yes"),'To Do List Sorted'!B27,"")</f>
        <v/>
      </c>
      <c r="H27" s="1" t="str">
        <f>IF(AND('To Do List Sorted'!C27="No",'To Do List Sorted'!D27="No"),'To Do List Sorted'!B27,"")</f>
        <v/>
      </c>
      <c r="J27" s="1" t="str">
        <f>IF(E27&lt;&gt;"",ROWS($I$3:I27),"")</f>
        <v/>
      </c>
      <c r="K27" s="1" t="str">
        <f>IF(F27&lt;&gt;"",ROWS($I$3:J27),"")</f>
        <v/>
      </c>
      <c r="L27" s="1" t="str">
        <f>IF(G27&lt;&gt;"",ROWS($I$3:K27),"")</f>
        <v/>
      </c>
      <c r="M27" s="1" t="str">
        <f>IF(H27&lt;&gt;"",ROWS($I$3:L27),"")</f>
        <v/>
      </c>
      <c r="O27" s="2" t="str">
        <f>IFERROR(IF(INDEX(E$3:E$52,SMALL(J$3:J$52,ROWS($N$3:N27)+$B$6-1))&lt;&gt;"",CHAR(7)&amp; " "&amp;INDEX(E$3:E$52,SMALL(J$3:J$52,ROWS($N$3:N27)+$B$6-1)),""),"")</f>
        <v/>
      </c>
      <c r="P27" s="2" t="str">
        <f>IFERROR(IF(INDEX(F$3:F$52,SMALL(K$3:K$52,ROWS($N$3:O27)+$B$7-1))&lt;&gt;"",CHAR(7)&amp; " "&amp;INDEX(F$3:F$52,SMALL(K$3:K$52,ROWS($N$3:O27)+$B$7-1)),""),"")</f>
        <v/>
      </c>
      <c r="Q27" s="2" t="str">
        <f>IFERROR(IF(INDEX(G$3:G$52,SMALL(L$3:L$52,ROWS($N$3:P27)+$B$8-1))&lt;&gt;"",CHAR(7)&amp; " "&amp;INDEX(G$3:G$52,SMALL(L$3:L$52,ROWS($N$3:P27)+$B$8-1)),""),"")</f>
        <v/>
      </c>
      <c r="R27" s="2" t="str">
        <f>IFERROR(IF(INDEX(H$3:H$52,SMALL(M$3:M$52,ROWS($N$3:Q27)+$B$9-1))&lt;&gt;"",CHAR(7)&amp; " "&amp;INDEX(H$3:H$52,SMALL(M$3:M$52,ROWS($N$3:Q27)+$B$9-1)),""),"")</f>
        <v/>
      </c>
    </row>
    <row r="28" spans="1:18">
      <c r="C28" t="b">
        <f>IF('To Do List Sorted'!$E28=Sheet2!$A$15,TRUE,FALSE)</f>
        <v>0</v>
      </c>
      <c r="E28" s="1" t="str">
        <f>IF(AND('To Do List Sorted'!C28="Yes",'To Do List Sorted'!D28="Yes"),'To Do List Sorted'!B28,"")</f>
        <v/>
      </c>
      <c r="F28" s="1" t="str">
        <f>IF(AND('To Do List Sorted'!C28="Yes",'To Do List Sorted'!D28="No"),'To Do List Sorted'!B28,"")</f>
        <v/>
      </c>
      <c r="G28" s="1" t="str">
        <f>IF(AND('To Do List Sorted'!C28="No",'To Do List Sorted'!D28="Yes"),'To Do List Sorted'!B28,"")</f>
        <v/>
      </c>
      <c r="H28" s="1" t="str">
        <f>IF(AND('To Do List Sorted'!C28="No",'To Do List Sorted'!D28="No"),'To Do List Sorted'!B28,"")</f>
        <v/>
      </c>
      <c r="J28" s="1" t="str">
        <f>IF(E28&lt;&gt;"",ROWS($I$3:I28),"")</f>
        <v/>
      </c>
      <c r="K28" s="1" t="str">
        <f>IF(F28&lt;&gt;"",ROWS($I$3:J28),"")</f>
        <v/>
      </c>
      <c r="L28" s="1" t="str">
        <f>IF(G28&lt;&gt;"",ROWS($I$3:K28),"")</f>
        <v/>
      </c>
      <c r="M28" s="1" t="str">
        <f>IF(H28&lt;&gt;"",ROWS($I$3:L28),"")</f>
        <v/>
      </c>
      <c r="O28" s="2" t="str">
        <f>IFERROR(IF(INDEX(E$3:E$52,SMALL(J$3:J$52,ROWS($N$3:N28)+$B$6-1))&lt;&gt;"",CHAR(7)&amp; " "&amp;INDEX(E$3:E$52,SMALL(J$3:J$52,ROWS($N$3:N28)+$B$6-1)),""),"")</f>
        <v/>
      </c>
      <c r="P28" s="2" t="str">
        <f>IFERROR(IF(INDEX(F$3:F$52,SMALL(K$3:K$52,ROWS($N$3:O28)+$B$7-1))&lt;&gt;"",CHAR(7)&amp; " "&amp;INDEX(F$3:F$52,SMALL(K$3:K$52,ROWS($N$3:O28)+$B$7-1)),""),"")</f>
        <v/>
      </c>
      <c r="Q28" s="2" t="str">
        <f>IFERROR(IF(INDEX(G$3:G$52,SMALL(L$3:L$52,ROWS($N$3:P28)+$B$8-1))&lt;&gt;"",CHAR(7)&amp; " "&amp;INDEX(G$3:G$52,SMALL(L$3:L$52,ROWS($N$3:P28)+$B$8-1)),""),"")</f>
        <v/>
      </c>
      <c r="R28" s="2" t="str">
        <f>IFERROR(IF(INDEX(H$3:H$52,SMALL(M$3:M$52,ROWS($N$3:Q28)+$B$9-1))&lt;&gt;"",CHAR(7)&amp; " "&amp;INDEX(H$3:H$52,SMALL(M$3:M$52,ROWS($N$3:Q28)+$B$9-1)),""),"")</f>
        <v/>
      </c>
    </row>
    <row r="29" spans="1:18">
      <c r="C29" t="b">
        <f>IF('To Do List Sorted'!$E29=Sheet2!$A$15,TRUE,FALSE)</f>
        <v>0</v>
      </c>
      <c r="E29" s="1" t="str">
        <f>IF(AND('To Do List Sorted'!C29="Yes",'To Do List Sorted'!D29="Yes"),'To Do List Sorted'!B29,"")</f>
        <v/>
      </c>
      <c r="F29" s="1" t="str">
        <f>IF(AND('To Do List Sorted'!C29="Yes",'To Do List Sorted'!D29="No"),'To Do List Sorted'!B29,"")</f>
        <v/>
      </c>
      <c r="G29" s="1" t="str">
        <f>IF(AND('To Do List Sorted'!C29="No",'To Do List Sorted'!D29="Yes"),'To Do List Sorted'!B29,"")</f>
        <v/>
      </c>
      <c r="H29" s="1" t="str">
        <f>IF(AND('To Do List Sorted'!C29="No",'To Do List Sorted'!D29="No"),'To Do List Sorted'!B29,"")</f>
        <v/>
      </c>
      <c r="J29" s="1" t="str">
        <f>IF(E29&lt;&gt;"",ROWS($I$3:I29),"")</f>
        <v/>
      </c>
      <c r="K29" s="1" t="str">
        <f>IF(F29&lt;&gt;"",ROWS($I$3:J29),"")</f>
        <v/>
      </c>
      <c r="L29" s="1" t="str">
        <f>IF(G29&lt;&gt;"",ROWS($I$3:K29),"")</f>
        <v/>
      </c>
      <c r="M29" s="1" t="str">
        <f>IF(H29&lt;&gt;"",ROWS($I$3:L29),"")</f>
        <v/>
      </c>
      <c r="O29" s="2" t="str">
        <f>IFERROR(IF(INDEX(E$3:E$52,SMALL(J$3:J$52,ROWS($N$3:N29)+$B$6-1))&lt;&gt;"",CHAR(7)&amp; " "&amp;INDEX(E$3:E$52,SMALL(J$3:J$52,ROWS($N$3:N29)+$B$6-1)),""),"")</f>
        <v/>
      </c>
      <c r="P29" s="2" t="str">
        <f>IFERROR(IF(INDEX(F$3:F$52,SMALL(K$3:K$52,ROWS($N$3:O29)+$B$7-1))&lt;&gt;"",CHAR(7)&amp; " "&amp;INDEX(F$3:F$52,SMALL(K$3:K$52,ROWS($N$3:O29)+$B$7-1)),""),"")</f>
        <v/>
      </c>
      <c r="Q29" s="2" t="str">
        <f>IFERROR(IF(INDEX(G$3:G$52,SMALL(L$3:L$52,ROWS($N$3:P29)+$B$8-1))&lt;&gt;"",CHAR(7)&amp; " "&amp;INDEX(G$3:G$52,SMALL(L$3:L$52,ROWS($N$3:P29)+$B$8-1)),""),"")</f>
        <v/>
      </c>
      <c r="R29" s="2" t="str">
        <f>IFERROR(IF(INDEX(H$3:H$52,SMALL(M$3:M$52,ROWS($N$3:Q29)+$B$9-1))&lt;&gt;"",CHAR(7)&amp; " "&amp;INDEX(H$3:H$52,SMALL(M$3:M$52,ROWS($N$3:Q29)+$B$9-1)),""),"")</f>
        <v/>
      </c>
    </row>
    <row r="30" spans="1:18">
      <c r="C30" t="b">
        <f>IF('To Do List Sorted'!$E30=Sheet2!$A$15,TRUE,FALSE)</f>
        <v>0</v>
      </c>
      <c r="E30" s="1" t="str">
        <f>IF(AND('To Do List Sorted'!C30="Yes",'To Do List Sorted'!D30="Yes"),'To Do List Sorted'!B30,"")</f>
        <v/>
      </c>
      <c r="F30" s="1" t="str">
        <f>IF(AND('To Do List Sorted'!C30="Yes",'To Do List Sorted'!D30="No"),'To Do List Sorted'!B30,"")</f>
        <v/>
      </c>
      <c r="G30" s="1" t="str">
        <f>IF(AND('To Do List Sorted'!C30="No",'To Do List Sorted'!D30="Yes"),'To Do List Sorted'!B30,"")</f>
        <v/>
      </c>
      <c r="H30" s="1" t="str">
        <f>IF(AND('To Do List Sorted'!C30="No",'To Do List Sorted'!D30="No"),'To Do List Sorted'!B30,"")</f>
        <v/>
      </c>
      <c r="J30" s="1" t="str">
        <f>IF(E30&lt;&gt;"",ROWS($I$3:I30),"")</f>
        <v/>
      </c>
      <c r="K30" s="1" t="str">
        <f>IF(F30&lt;&gt;"",ROWS($I$3:J30),"")</f>
        <v/>
      </c>
      <c r="L30" s="1" t="str">
        <f>IF(G30&lt;&gt;"",ROWS($I$3:K30),"")</f>
        <v/>
      </c>
      <c r="M30" s="1" t="str">
        <f>IF(H30&lt;&gt;"",ROWS($I$3:L30),"")</f>
        <v/>
      </c>
      <c r="O30" s="2" t="str">
        <f>IFERROR(IF(INDEX(E$3:E$52,SMALL(J$3:J$52,ROWS($N$3:N30)+$B$6-1))&lt;&gt;"",CHAR(7)&amp; " "&amp;INDEX(E$3:E$52,SMALL(J$3:J$52,ROWS($N$3:N30)+$B$6-1)),""),"")</f>
        <v/>
      </c>
      <c r="P30" s="2" t="str">
        <f>IFERROR(IF(INDEX(F$3:F$52,SMALL(K$3:K$52,ROWS($N$3:O30)+$B$7-1))&lt;&gt;"",CHAR(7)&amp; " "&amp;INDEX(F$3:F$52,SMALL(K$3:K$52,ROWS($N$3:O30)+$B$7-1)),""),"")</f>
        <v/>
      </c>
      <c r="Q30" s="2" t="str">
        <f>IFERROR(IF(INDEX(G$3:G$52,SMALL(L$3:L$52,ROWS($N$3:P30)+$B$8-1))&lt;&gt;"",CHAR(7)&amp; " "&amp;INDEX(G$3:G$52,SMALL(L$3:L$52,ROWS($N$3:P30)+$B$8-1)),""),"")</f>
        <v/>
      </c>
      <c r="R30" s="2" t="str">
        <f>IFERROR(IF(INDEX(H$3:H$52,SMALL(M$3:M$52,ROWS($N$3:Q30)+$B$9-1))&lt;&gt;"",CHAR(7)&amp; " "&amp;INDEX(H$3:H$52,SMALL(M$3:M$52,ROWS($N$3:Q30)+$B$9-1)),""),"")</f>
        <v/>
      </c>
    </row>
    <row r="31" spans="1:18">
      <c r="C31" t="b">
        <f>IF('To Do List Sorted'!$E31=Sheet2!$A$15,TRUE,FALSE)</f>
        <v>0</v>
      </c>
      <c r="E31" s="1" t="str">
        <f>IF(AND('To Do List Sorted'!C31="Yes",'To Do List Sorted'!D31="Yes"),'To Do List Sorted'!B31,"")</f>
        <v/>
      </c>
      <c r="F31" s="1" t="str">
        <f>IF(AND('To Do List Sorted'!C31="Yes",'To Do List Sorted'!D31="No"),'To Do List Sorted'!B31,"")</f>
        <v/>
      </c>
      <c r="G31" s="1" t="str">
        <f>IF(AND('To Do List Sorted'!C31="No",'To Do List Sorted'!D31="Yes"),'To Do List Sorted'!B31,"")</f>
        <v/>
      </c>
      <c r="H31" s="1" t="str">
        <f>IF(AND('To Do List Sorted'!C31="No",'To Do List Sorted'!D31="No"),'To Do List Sorted'!B31,"")</f>
        <v/>
      </c>
      <c r="J31" s="1" t="str">
        <f>IF(E31&lt;&gt;"",ROWS($I$3:I31),"")</f>
        <v/>
      </c>
      <c r="K31" s="1" t="str">
        <f>IF(F31&lt;&gt;"",ROWS($I$3:J31),"")</f>
        <v/>
      </c>
      <c r="L31" s="1" t="str">
        <f>IF(G31&lt;&gt;"",ROWS($I$3:K31),"")</f>
        <v/>
      </c>
      <c r="M31" s="1" t="str">
        <f>IF(H31&lt;&gt;"",ROWS($I$3:L31),"")</f>
        <v/>
      </c>
      <c r="O31" s="2" t="str">
        <f>IFERROR(IF(INDEX(E$3:E$52,SMALL(J$3:J$52,ROWS($N$3:N31)+$B$6-1))&lt;&gt;"",CHAR(7)&amp; " "&amp;INDEX(E$3:E$52,SMALL(J$3:J$52,ROWS($N$3:N31)+$B$6-1)),""),"")</f>
        <v/>
      </c>
      <c r="P31" s="2" t="str">
        <f>IFERROR(IF(INDEX(F$3:F$52,SMALL(K$3:K$52,ROWS($N$3:O31)+$B$7-1))&lt;&gt;"",CHAR(7)&amp; " "&amp;INDEX(F$3:F$52,SMALL(K$3:K$52,ROWS($N$3:O31)+$B$7-1)),""),"")</f>
        <v/>
      </c>
      <c r="Q31" s="2" t="str">
        <f>IFERROR(IF(INDEX(G$3:G$52,SMALL(L$3:L$52,ROWS($N$3:P31)+$B$8-1))&lt;&gt;"",CHAR(7)&amp; " "&amp;INDEX(G$3:G$52,SMALL(L$3:L$52,ROWS($N$3:P31)+$B$8-1)),""),"")</f>
        <v/>
      </c>
      <c r="R31" s="2" t="str">
        <f>IFERROR(IF(INDEX(H$3:H$52,SMALL(M$3:M$52,ROWS($N$3:Q31)+$B$9-1))&lt;&gt;"",CHAR(7)&amp; " "&amp;INDEX(H$3:H$52,SMALL(M$3:M$52,ROWS($N$3:Q31)+$B$9-1)),""),"")</f>
        <v/>
      </c>
    </row>
    <row r="32" spans="1:18">
      <c r="C32" t="b">
        <f>IF('To Do List Sorted'!$E32=Sheet2!$A$15,TRUE,FALSE)</f>
        <v>0</v>
      </c>
      <c r="E32" s="1" t="str">
        <f>IF(AND('To Do List Sorted'!C32="Yes",'To Do List Sorted'!D32="Yes"),'To Do List Sorted'!B32,"")</f>
        <v/>
      </c>
      <c r="F32" s="1" t="str">
        <f>IF(AND('To Do List Sorted'!C32="Yes",'To Do List Sorted'!D32="No"),'To Do List Sorted'!B32,"")</f>
        <v/>
      </c>
      <c r="G32" s="1" t="str">
        <f>IF(AND('To Do List Sorted'!C32="No",'To Do List Sorted'!D32="Yes"),'To Do List Sorted'!B32,"")</f>
        <v/>
      </c>
      <c r="H32" s="1" t="str">
        <f>IF(AND('To Do List Sorted'!C32="No",'To Do List Sorted'!D32="No"),'To Do List Sorted'!B32,"")</f>
        <v/>
      </c>
      <c r="J32" s="1" t="str">
        <f>IF(E32&lt;&gt;"",ROWS($I$3:I32),"")</f>
        <v/>
      </c>
      <c r="K32" s="1" t="str">
        <f>IF(F32&lt;&gt;"",ROWS($I$3:J32),"")</f>
        <v/>
      </c>
      <c r="L32" s="1" t="str">
        <f>IF(G32&lt;&gt;"",ROWS($I$3:K32),"")</f>
        <v/>
      </c>
      <c r="M32" s="1" t="str">
        <f>IF(H32&lt;&gt;"",ROWS($I$3:L32),"")</f>
        <v/>
      </c>
      <c r="O32" s="2" t="str">
        <f>IFERROR(IF(INDEX(E$3:E$52,SMALL(J$3:J$52,ROWS($N$3:N32)+$B$6-1))&lt;&gt;"",CHAR(7)&amp; " "&amp;INDEX(E$3:E$52,SMALL(J$3:J$52,ROWS($N$3:N32)+$B$6-1)),""),"")</f>
        <v/>
      </c>
      <c r="P32" s="2" t="str">
        <f>IFERROR(IF(INDEX(F$3:F$52,SMALL(K$3:K$52,ROWS($N$3:O32)+$B$7-1))&lt;&gt;"",CHAR(7)&amp; " "&amp;INDEX(F$3:F$52,SMALL(K$3:K$52,ROWS($N$3:O32)+$B$7-1)),""),"")</f>
        <v/>
      </c>
      <c r="Q32" s="2" t="str">
        <f>IFERROR(IF(INDEX(G$3:G$52,SMALL(L$3:L$52,ROWS($N$3:P32)+$B$8-1))&lt;&gt;"",CHAR(7)&amp; " "&amp;INDEX(G$3:G$52,SMALL(L$3:L$52,ROWS($N$3:P32)+$B$8-1)),""),"")</f>
        <v/>
      </c>
      <c r="R32" s="2" t="str">
        <f>IFERROR(IF(INDEX(H$3:H$52,SMALL(M$3:M$52,ROWS($N$3:Q32)+$B$9-1))&lt;&gt;"",CHAR(7)&amp; " "&amp;INDEX(H$3:H$52,SMALL(M$3:M$52,ROWS($N$3:Q32)+$B$9-1)),""),"")</f>
        <v/>
      </c>
    </row>
    <row r="33" spans="3:18">
      <c r="C33" t="b">
        <f>IF('To Do List Sorted'!$E33=Sheet2!$A$15,TRUE,FALSE)</f>
        <v>0</v>
      </c>
      <c r="E33" s="1" t="str">
        <f>IF(AND('To Do List Sorted'!C33="Yes",'To Do List Sorted'!D33="Yes"),'To Do List Sorted'!B33,"")</f>
        <v/>
      </c>
      <c r="F33" s="1" t="str">
        <f>IF(AND('To Do List Sorted'!C33="Yes",'To Do List Sorted'!D33="No"),'To Do List Sorted'!B33,"")</f>
        <v/>
      </c>
      <c r="G33" s="1" t="str">
        <f>IF(AND('To Do List Sorted'!C33="No",'To Do List Sorted'!D33="Yes"),'To Do List Sorted'!B33,"")</f>
        <v/>
      </c>
      <c r="H33" s="1" t="str">
        <f>IF(AND('To Do List Sorted'!C33="No",'To Do List Sorted'!D33="No"),'To Do List Sorted'!B33,"")</f>
        <v/>
      </c>
      <c r="J33" s="1" t="str">
        <f>IF(E33&lt;&gt;"",ROWS($I$3:I33),"")</f>
        <v/>
      </c>
      <c r="K33" s="1" t="str">
        <f>IF(F33&lt;&gt;"",ROWS($I$3:J33),"")</f>
        <v/>
      </c>
      <c r="L33" s="1" t="str">
        <f>IF(G33&lt;&gt;"",ROWS($I$3:K33),"")</f>
        <v/>
      </c>
      <c r="M33" s="1" t="str">
        <f>IF(H33&lt;&gt;"",ROWS($I$3:L33),"")</f>
        <v/>
      </c>
      <c r="O33" s="2" t="str">
        <f>IFERROR(IF(INDEX(E$3:E$52,SMALL(J$3:J$52,ROWS($N$3:N33)+$B$6-1))&lt;&gt;"",CHAR(7)&amp; " "&amp;INDEX(E$3:E$52,SMALL(J$3:J$52,ROWS($N$3:N33)+$B$6-1)),""),"")</f>
        <v/>
      </c>
      <c r="P33" s="2" t="str">
        <f>IFERROR(IF(INDEX(F$3:F$52,SMALL(K$3:K$52,ROWS($N$3:O33)+$B$7-1))&lt;&gt;"",CHAR(7)&amp; " "&amp;INDEX(F$3:F$52,SMALL(K$3:K$52,ROWS($N$3:O33)+$B$7-1)),""),"")</f>
        <v/>
      </c>
      <c r="Q33" s="2" t="str">
        <f>IFERROR(IF(INDEX(G$3:G$52,SMALL(L$3:L$52,ROWS($N$3:P33)+$B$8-1))&lt;&gt;"",CHAR(7)&amp; " "&amp;INDEX(G$3:G$52,SMALL(L$3:L$52,ROWS($N$3:P33)+$B$8-1)),""),"")</f>
        <v/>
      </c>
      <c r="R33" s="2" t="str">
        <f>IFERROR(IF(INDEX(H$3:H$52,SMALL(M$3:M$52,ROWS($N$3:Q33)+$B$9-1))&lt;&gt;"",CHAR(7)&amp; " "&amp;INDEX(H$3:H$52,SMALL(M$3:M$52,ROWS($N$3:Q33)+$B$9-1)),""),"")</f>
        <v/>
      </c>
    </row>
    <row r="34" spans="3:18">
      <c r="C34" t="b">
        <f>IF('To Do List Sorted'!$E34=Sheet2!$A$15,TRUE,FALSE)</f>
        <v>0</v>
      </c>
      <c r="E34" s="1" t="str">
        <f>IF(AND('To Do List Sorted'!C34="Yes",'To Do List Sorted'!D34="Yes"),'To Do List Sorted'!B34,"")</f>
        <v/>
      </c>
      <c r="F34" s="1" t="str">
        <f>IF(AND('To Do List Sorted'!C34="Yes",'To Do List Sorted'!D34="No"),'To Do List Sorted'!B34,"")</f>
        <v/>
      </c>
      <c r="G34" s="1" t="str">
        <f>IF(AND('To Do List Sorted'!C34="No",'To Do List Sorted'!D34="Yes"),'To Do List Sorted'!B34,"")</f>
        <v/>
      </c>
      <c r="H34" s="1" t="str">
        <f>IF(AND('To Do List Sorted'!C34="No",'To Do List Sorted'!D34="No"),'To Do List Sorted'!B34,"")</f>
        <v/>
      </c>
      <c r="J34" s="1" t="str">
        <f>IF(E34&lt;&gt;"",ROWS($I$3:I34),"")</f>
        <v/>
      </c>
      <c r="K34" s="1" t="str">
        <f>IF(F34&lt;&gt;"",ROWS($I$3:J34),"")</f>
        <v/>
      </c>
      <c r="L34" s="1" t="str">
        <f>IF(G34&lt;&gt;"",ROWS($I$3:K34),"")</f>
        <v/>
      </c>
      <c r="M34" s="1" t="str">
        <f>IF(H34&lt;&gt;"",ROWS($I$3:L34),"")</f>
        <v/>
      </c>
      <c r="O34" s="2" t="str">
        <f>IFERROR(IF(INDEX(E$3:E$52,SMALL(J$3:J$52,ROWS($N$3:N34)+$B$6-1))&lt;&gt;"",CHAR(7)&amp; " "&amp;INDEX(E$3:E$52,SMALL(J$3:J$52,ROWS($N$3:N34)+$B$6-1)),""),"")</f>
        <v/>
      </c>
      <c r="P34" s="2" t="str">
        <f>IFERROR(IF(INDEX(F$3:F$52,SMALL(K$3:K$52,ROWS($N$3:O34)+$B$7-1))&lt;&gt;"",CHAR(7)&amp; " "&amp;INDEX(F$3:F$52,SMALL(K$3:K$52,ROWS($N$3:O34)+$B$7-1)),""),"")</f>
        <v/>
      </c>
      <c r="Q34" s="2" t="str">
        <f>IFERROR(IF(INDEX(G$3:G$52,SMALL(L$3:L$52,ROWS($N$3:P34)+$B$8-1))&lt;&gt;"",CHAR(7)&amp; " "&amp;INDEX(G$3:G$52,SMALL(L$3:L$52,ROWS($N$3:P34)+$B$8-1)),""),"")</f>
        <v/>
      </c>
      <c r="R34" s="2" t="str">
        <f>IFERROR(IF(INDEX(H$3:H$52,SMALL(M$3:M$52,ROWS($N$3:Q34)+$B$9-1))&lt;&gt;"",CHAR(7)&amp; " "&amp;INDEX(H$3:H$52,SMALL(M$3:M$52,ROWS($N$3:Q34)+$B$9-1)),""),"")</f>
        <v/>
      </c>
    </row>
    <row r="35" spans="3:18">
      <c r="C35" t="b">
        <f>IF('To Do List Sorted'!$E35=Sheet2!$A$15,TRUE,FALSE)</f>
        <v>0</v>
      </c>
      <c r="E35" s="1" t="str">
        <f>IF(AND('To Do List Sorted'!C35="Yes",'To Do List Sorted'!D35="Yes"),'To Do List Sorted'!B35,"")</f>
        <v/>
      </c>
      <c r="F35" s="1" t="str">
        <f>IF(AND('To Do List Sorted'!C35="Yes",'To Do List Sorted'!D35="No"),'To Do List Sorted'!B35,"")</f>
        <v/>
      </c>
      <c r="G35" s="1" t="str">
        <f>IF(AND('To Do List Sorted'!C35="No",'To Do List Sorted'!D35="Yes"),'To Do List Sorted'!B35,"")</f>
        <v/>
      </c>
      <c r="H35" s="1" t="str">
        <f>IF(AND('To Do List Sorted'!C35="No",'To Do List Sorted'!D35="No"),'To Do List Sorted'!B35,"")</f>
        <v/>
      </c>
      <c r="J35" s="1" t="str">
        <f>IF(E35&lt;&gt;"",ROWS($I$3:I35),"")</f>
        <v/>
      </c>
      <c r="K35" s="1" t="str">
        <f>IF(F35&lt;&gt;"",ROWS($I$3:J35),"")</f>
        <v/>
      </c>
      <c r="L35" s="1" t="str">
        <f>IF(G35&lt;&gt;"",ROWS($I$3:K35),"")</f>
        <v/>
      </c>
      <c r="M35" s="1" t="str">
        <f>IF(H35&lt;&gt;"",ROWS($I$3:L35),"")</f>
        <v/>
      </c>
      <c r="O35" s="2" t="str">
        <f>IFERROR(IF(INDEX(E$3:E$52,SMALL(J$3:J$52,ROWS($N$3:N35)+$B$6-1))&lt;&gt;"",CHAR(7)&amp; " "&amp;INDEX(E$3:E$52,SMALL(J$3:J$52,ROWS($N$3:N35)+$B$6-1)),""),"")</f>
        <v/>
      </c>
      <c r="P35" s="2" t="str">
        <f>IFERROR(IF(INDEX(F$3:F$52,SMALL(K$3:K$52,ROWS($N$3:O35)+$B$7-1))&lt;&gt;"",CHAR(7)&amp; " "&amp;INDEX(F$3:F$52,SMALL(K$3:K$52,ROWS($N$3:O35)+$B$7-1)),""),"")</f>
        <v/>
      </c>
      <c r="Q35" s="2" t="str">
        <f>IFERROR(IF(INDEX(G$3:G$52,SMALL(L$3:L$52,ROWS($N$3:P35)+$B$8-1))&lt;&gt;"",CHAR(7)&amp; " "&amp;INDEX(G$3:G$52,SMALL(L$3:L$52,ROWS($N$3:P35)+$B$8-1)),""),"")</f>
        <v/>
      </c>
      <c r="R35" s="2" t="str">
        <f>IFERROR(IF(INDEX(H$3:H$52,SMALL(M$3:M$52,ROWS($N$3:Q35)+$B$9-1))&lt;&gt;"",CHAR(7)&amp; " "&amp;INDEX(H$3:H$52,SMALL(M$3:M$52,ROWS($N$3:Q35)+$B$9-1)),""),"")</f>
        <v/>
      </c>
    </row>
    <row r="36" spans="3:18">
      <c r="C36" t="b">
        <f>IF('To Do List Sorted'!$E36=Sheet2!$A$15,TRUE,FALSE)</f>
        <v>0</v>
      </c>
      <c r="E36" s="1" t="str">
        <f>IF(AND('To Do List Sorted'!C36="Yes",'To Do List Sorted'!D36="Yes"),'To Do List Sorted'!B36,"")</f>
        <v/>
      </c>
      <c r="F36" s="1" t="str">
        <f>IF(AND('To Do List Sorted'!C36="Yes",'To Do List Sorted'!D36="No"),'To Do List Sorted'!B36,"")</f>
        <v/>
      </c>
      <c r="G36" s="1" t="str">
        <f>IF(AND('To Do List Sorted'!C36="No",'To Do List Sorted'!D36="Yes"),'To Do List Sorted'!B36,"")</f>
        <v/>
      </c>
      <c r="H36" s="1" t="str">
        <f>IF(AND('To Do List Sorted'!C36="No",'To Do List Sorted'!D36="No"),'To Do List Sorted'!B36,"")</f>
        <v/>
      </c>
      <c r="J36" s="1" t="str">
        <f>IF(E36&lt;&gt;"",ROWS($I$3:I36),"")</f>
        <v/>
      </c>
      <c r="K36" s="1" t="str">
        <f>IF(F36&lt;&gt;"",ROWS($I$3:J36),"")</f>
        <v/>
      </c>
      <c r="L36" s="1" t="str">
        <f>IF(G36&lt;&gt;"",ROWS($I$3:K36),"")</f>
        <v/>
      </c>
      <c r="M36" s="1" t="str">
        <f>IF(H36&lt;&gt;"",ROWS($I$3:L36),"")</f>
        <v/>
      </c>
      <c r="O36" s="2" t="str">
        <f>IFERROR(IF(INDEX(E$3:E$52,SMALL(J$3:J$52,ROWS($N$3:N36)+$B$6-1))&lt;&gt;"",CHAR(7)&amp; " "&amp;INDEX(E$3:E$52,SMALL(J$3:J$52,ROWS($N$3:N36)+$B$6-1)),""),"")</f>
        <v/>
      </c>
      <c r="P36" s="2" t="str">
        <f>IFERROR(IF(INDEX(F$3:F$52,SMALL(K$3:K$52,ROWS($N$3:O36)+$B$7-1))&lt;&gt;"",CHAR(7)&amp; " "&amp;INDEX(F$3:F$52,SMALL(K$3:K$52,ROWS($N$3:O36)+$B$7-1)),""),"")</f>
        <v/>
      </c>
      <c r="Q36" s="2" t="str">
        <f>IFERROR(IF(INDEX(G$3:G$52,SMALL(L$3:L$52,ROWS($N$3:P36)+$B$8-1))&lt;&gt;"",CHAR(7)&amp; " "&amp;INDEX(G$3:G$52,SMALL(L$3:L$52,ROWS($N$3:P36)+$B$8-1)),""),"")</f>
        <v/>
      </c>
      <c r="R36" s="2" t="str">
        <f>IFERROR(IF(INDEX(H$3:H$52,SMALL(M$3:M$52,ROWS($N$3:Q36)+$B$9-1))&lt;&gt;"",CHAR(7)&amp; " "&amp;INDEX(H$3:H$52,SMALL(M$3:M$52,ROWS($N$3:Q36)+$B$9-1)),""),"")</f>
        <v/>
      </c>
    </row>
    <row r="37" spans="3:18">
      <c r="C37" t="b">
        <f>IF('To Do List Sorted'!$E37=Sheet2!$A$15,TRUE,FALSE)</f>
        <v>0</v>
      </c>
      <c r="E37" s="1" t="str">
        <f>IF(AND('To Do List Sorted'!C37="Yes",'To Do List Sorted'!D37="Yes"),'To Do List Sorted'!B37,"")</f>
        <v/>
      </c>
      <c r="F37" s="1" t="str">
        <f>IF(AND('To Do List Sorted'!C37="Yes",'To Do List Sorted'!D37="No"),'To Do List Sorted'!B37,"")</f>
        <v/>
      </c>
      <c r="G37" s="1" t="str">
        <f>IF(AND('To Do List Sorted'!C37="No",'To Do List Sorted'!D37="Yes"),'To Do List Sorted'!B37,"")</f>
        <v/>
      </c>
      <c r="H37" s="1" t="str">
        <f>IF(AND('To Do List Sorted'!C37="No",'To Do List Sorted'!D37="No"),'To Do List Sorted'!B37,"")</f>
        <v/>
      </c>
      <c r="J37" s="1" t="str">
        <f>IF(E37&lt;&gt;"",ROWS($I$3:I37),"")</f>
        <v/>
      </c>
      <c r="K37" s="1" t="str">
        <f>IF(F37&lt;&gt;"",ROWS($I$3:J37),"")</f>
        <v/>
      </c>
      <c r="L37" s="1" t="str">
        <f>IF(G37&lt;&gt;"",ROWS($I$3:K37),"")</f>
        <v/>
      </c>
      <c r="M37" s="1" t="str">
        <f>IF(H37&lt;&gt;"",ROWS($I$3:L37),"")</f>
        <v/>
      </c>
      <c r="O37" s="2" t="str">
        <f>IFERROR(IF(INDEX(E$3:E$52,SMALL(J$3:J$52,ROWS($N$3:N37)+$B$6-1))&lt;&gt;"",CHAR(7)&amp; " "&amp;INDEX(E$3:E$52,SMALL(J$3:J$52,ROWS($N$3:N37)+$B$6-1)),""),"")</f>
        <v/>
      </c>
      <c r="P37" s="2" t="str">
        <f>IFERROR(IF(INDEX(F$3:F$52,SMALL(K$3:K$52,ROWS($N$3:O37)+$B$7-1))&lt;&gt;"",CHAR(7)&amp; " "&amp;INDEX(F$3:F$52,SMALL(K$3:K$52,ROWS($N$3:O37)+$B$7-1)),""),"")</f>
        <v/>
      </c>
      <c r="Q37" s="2" t="str">
        <f>IFERROR(IF(INDEX(G$3:G$52,SMALL(L$3:L$52,ROWS($N$3:P37)+$B$8-1))&lt;&gt;"",CHAR(7)&amp; " "&amp;INDEX(G$3:G$52,SMALL(L$3:L$52,ROWS($N$3:P37)+$B$8-1)),""),"")</f>
        <v/>
      </c>
      <c r="R37" s="2" t="str">
        <f>IFERROR(IF(INDEX(H$3:H$52,SMALL(M$3:M$52,ROWS($N$3:Q37)+$B$9-1))&lt;&gt;"",CHAR(7)&amp; " "&amp;INDEX(H$3:H$52,SMALL(M$3:M$52,ROWS($N$3:Q37)+$B$9-1)),""),"")</f>
        <v/>
      </c>
    </row>
    <row r="38" spans="3:18">
      <c r="C38" t="b">
        <f>IF('To Do List Sorted'!$E38=Sheet2!$A$15,TRUE,FALSE)</f>
        <v>0</v>
      </c>
      <c r="E38" s="1" t="str">
        <f>IF(AND('To Do List Sorted'!C38="Yes",'To Do List Sorted'!D38="Yes"),'To Do List Sorted'!B38,"")</f>
        <v/>
      </c>
      <c r="F38" s="1" t="str">
        <f>IF(AND('To Do List Sorted'!C38="Yes",'To Do List Sorted'!D38="No"),'To Do List Sorted'!B38,"")</f>
        <v/>
      </c>
      <c r="G38" s="1" t="str">
        <f>IF(AND('To Do List Sorted'!C38="No",'To Do List Sorted'!D38="Yes"),'To Do List Sorted'!B38,"")</f>
        <v/>
      </c>
      <c r="H38" s="1" t="str">
        <f>IF(AND('To Do List Sorted'!C38="No",'To Do List Sorted'!D38="No"),'To Do List Sorted'!B38,"")</f>
        <v/>
      </c>
      <c r="J38" s="1" t="str">
        <f>IF(E38&lt;&gt;"",ROWS($I$3:I38),"")</f>
        <v/>
      </c>
      <c r="K38" s="1" t="str">
        <f>IF(F38&lt;&gt;"",ROWS($I$3:J38),"")</f>
        <v/>
      </c>
      <c r="L38" s="1" t="str">
        <f>IF(G38&lt;&gt;"",ROWS($I$3:K38),"")</f>
        <v/>
      </c>
      <c r="M38" s="1" t="str">
        <f>IF(H38&lt;&gt;"",ROWS($I$3:L38),"")</f>
        <v/>
      </c>
      <c r="O38" s="2" t="str">
        <f>IFERROR(IF(INDEX(E$3:E$52,SMALL(J$3:J$52,ROWS($N$3:N38)+$B$6-1))&lt;&gt;"",CHAR(7)&amp; " "&amp;INDEX(E$3:E$52,SMALL(J$3:J$52,ROWS($N$3:N38)+$B$6-1)),""),"")</f>
        <v/>
      </c>
      <c r="P38" s="2" t="str">
        <f>IFERROR(IF(INDEX(F$3:F$52,SMALL(K$3:K$52,ROWS($N$3:O38)+$B$7-1))&lt;&gt;"",CHAR(7)&amp; " "&amp;INDEX(F$3:F$52,SMALL(K$3:K$52,ROWS($N$3:O38)+$B$7-1)),""),"")</f>
        <v/>
      </c>
      <c r="Q38" s="2" t="str">
        <f>IFERROR(IF(INDEX(G$3:G$52,SMALL(L$3:L$52,ROWS($N$3:P38)+$B$8-1))&lt;&gt;"",CHAR(7)&amp; " "&amp;INDEX(G$3:G$52,SMALL(L$3:L$52,ROWS($N$3:P38)+$B$8-1)),""),"")</f>
        <v/>
      </c>
      <c r="R38" s="2" t="str">
        <f>IFERROR(IF(INDEX(H$3:H$52,SMALL(M$3:M$52,ROWS($N$3:Q38)+$B$9-1))&lt;&gt;"",CHAR(7)&amp; " "&amp;INDEX(H$3:H$52,SMALL(M$3:M$52,ROWS($N$3:Q38)+$B$9-1)),""),"")</f>
        <v/>
      </c>
    </row>
    <row r="39" spans="3:18">
      <c r="C39" t="b">
        <f>IF('To Do List Sorted'!$E39=Sheet2!$A$15,TRUE,FALSE)</f>
        <v>0</v>
      </c>
      <c r="E39" s="1" t="str">
        <f>IF(AND('To Do List Sorted'!C39="Yes",'To Do List Sorted'!D39="Yes"),'To Do List Sorted'!B39,"")</f>
        <v/>
      </c>
      <c r="F39" s="1" t="str">
        <f>IF(AND('To Do List Sorted'!C39="Yes",'To Do List Sorted'!D39="No"),'To Do List Sorted'!B39,"")</f>
        <v/>
      </c>
      <c r="G39" s="1" t="str">
        <f>IF(AND('To Do List Sorted'!C39="No",'To Do List Sorted'!D39="Yes"),'To Do List Sorted'!B39,"")</f>
        <v/>
      </c>
      <c r="H39" s="1" t="str">
        <f>IF(AND('To Do List Sorted'!C39="No",'To Do List Sorted'!D39="No"),'To Do List Sorted'!B39,"")</f>
        <v/>
      </c>
      <c r="J39" s="1" t="str">
        <f>IF(E39&lt;&gt;"",ROWS($I$3:I39),"")</f>
        <v/>
      </c>
      <c r="K39" s="1" t="str">
        <f>IF(F39&lt;&gt;"",ROWS($I$3:J39),"")</f>
        <v/>
      </c>
      <c r="L39" s="1" t="str">
        <f>IF(G39&lt;&gt;"",ROWS($I$3:K39),"")</f>
        <v/>
      </c>
      <c r="M39" s="1" t="str">
        <f>IF(H39&lt;&gt;"",ROWS($I$3:L39),"")</f>
        <v/>
      </c>
      <c r="O39" s="2" t="str">
        <f>IFERROR(IF(INDEX(E$3:E$52,SMALL(J$3:J$52,ROWS($N$3:N39)+$B$6-1))&lt;&gt;"",CHAR(7)&amp; " "&amp;INDEX(E$3:E$52,SMALL(J$3:J$52,ROWS($N$3:N39)+$B$6-1)),""),"")</f>
        <v/>
      </c>
      <c r="P39" s="2" t="str">
        <f>IFERROR(IF(INDEX(F$3:F$52,SMALL(K$3:K$52,ROWS($N$3:O39)+$B$7-1))&lt;&gt;"",CHAR(7)&amp; " "&amp;INDEX(F$3:F$52,SMALL(K$3:K$52,ROWS($N$3:O39)+$B$7-1)),""),"")</f>
        <v/>
      </c>
      <c r="Q39" s="2" t="str">
        <f>IFERROR(IF(INDEX(G$3:G$52,SMALL(L$3:L$52,ROWS($N$3:P39)+$B$8-1))&lt;&gt;"",CHAR(7)&amp; " "&amp;INDEX(G$3:G$52,SMALL(L$3:L$52,ROWS($N$3:P39)+$B$8-1)),""),"")</f>
        <v/>
      </c>
      <c r="R39" s="2" t="str">
        <f>IFERROR(IF(INDEX(H$3:H$52,SMALL(M$3:M$52,ROWS($N$3:Q39)+$B$9-1))&lt;&gt;"",CHAR(7)&amp; " "&amp;INDEX(H$3:H$52,SMALL(M$3:M$52,ROWS($N$3:Q39)+$B$9-1)),""),"")</f>
        <v/>
      </c>
    </row>
    <row r="40" spans="3:18">
      <c r="C40" t="b">
        <f>IF('To Do List Sorted'!$E40=Sheet2!$A$15,TRUE,FALSE)</f>
        <v>0</v>
      </c>
      <c r="E40" s="1" t="str">
        <f>IF(AND('To Do List Sorted'!C40="Yes",'To Do List Sorted'!D40="Yes"),'To Do List Sorted'!B40,"")</f>
        <v/>
      </c>
      <c r="F40" s="1" t="str">
        <f>IF(AND('To Do List Sorted'!C40="Yes",'To Do List Sorted'!D40="No"),'To Do List Sorted'!B40,"")</f>
        <v/>
      </c>
      <c r="G40" s="1" t="str">
        <f>IF(AND('To Do List Sorted'!C40="No",'To Do List Sorted'!D40="Yes"),'To Do List Sorted'!B40,"")</f>
        <v/>
      </c>
      <c r="H40" s="1" t="str">
        <f>IF(AND('To Do List Sorted'!C40="No",'To Do List Sorted'!D40="No"),'To Do List Sorted'!B40,"")</f>
        <v/>
      </c>
      <c r="J40" s="1" t="str">
        <f>IF(E40&lt;&gt;"",ROWS($I$3:I40),"")</f>
        <v/>
      </c>
      <c r="K40" s="1" t="str">
        <f>IF(F40&lt;&gt;"",ROWS($I$3:J40),"")</f>
        <v/>
      </c>
      <c r="L40" s="1" t="str">
        <f>IF(G40&lt;&gt;"",ROWS($I$3:K40),"")</f>
        <v/>
      </c>
      <c r="M40" s="1" t="str">
        <f>IF(H40&lt;&gt;"",ROWS($I$3:L40),"")</f>
        <v/>
      </c>
      <c r="O40" s="2" t="str">
        <f>IFERROR(IF(INDEX(E$3:E$52,SMALL(J$3:J$52,ROWS($N$3:N40)+$B$6-1))&lt;&gt;"",CHAR(7)&amp; " "&amp;INDEX(E$3:E$52,SMALL(J$3:J$52,ROWS($N$3:N40)+$B$6-1)),""),"")</f>
        <v/>
      </c>
      <c r="P40" s="2" t="str">
        <f>IFERROR(IF(INDEX(F$3:F$52,SMALL(K$3:K$52,ROWS($N$3:O40)+$B$7-1))&lt;&gt;"",CHAR(7)&amp; " "&amp;INDEX(F$3:F$52,SMALL(K$3:K$52,ROWS($N$3:O40)+$B$7-1)),""),"")</f>
        <v/>
      </c>
      <c r="Q40" s="2" t="str">
        <f>IFERROR(IF(INDEX(G$3:G$52,SMALL(L$3:L$52,ROWS($N$3:P40)+$B$8-1))&lt;&gt;"",CHAR(7)&amp; " "&amp;INDEX(G$3:G$52,SMALL(L$3:L$52,ROWS($N$3:P40)+$B$8-1)),""),"")</f>
        <v/>
      </c>
      <c r="R40" s="2" t="str">
        <f>IFERROR(IF(INDEX(H$3:H$52,SMALL(M$3:M$52,ROWS($N$3:Q40)+$B$9-1))&lt;&gt;"",CHAR(7)&amp; " "&amp;INDEX(H$3:H$52,SMALL(M$3:M$52,ROWS($N$3:Q40)+$B$9-1)),""),"")</f>
        <v/>
      </c>
    </row>
    <row r="41" spans="3:18">
      <c r="C41" t="b">
        <f>IF('To Do List Sorted'!$E41=Sheet2!$A$15,TRUE,FALSE)</f>
        <v>0</v>
      </c>
      <c r="E41" s="1" t="str">
        <f>IF(AND('To Do List Sorted'!C41="Yes",'To Do List Sorted'!D41="Yes"),'To Do List Sorted'!B41,"")</f>
        <v/>
      </c>
      <c r="F41" s="1" t="str">
        <f>IF(AND('To Do List Sorted'!C41="Yes",'To Do List Sorted'!D41="No"),'To Do List Sorted'!B41,"")</f>
        <v/>
      </c>
      <c r="G41" s="1" t="str">
        <f>IF(AND('To Do List Sorted'!C41="No",'To Do List Sorted'!D41="Yes"),'To Do List Sorted'!B41,"")</f>
        <v/>
      </c>
      <c r="H41" s="1" t="str">
        <f>IF(AND('To Do List Sorted'!C41="No",'To Do List Sorted'!D41="No"),'To Do List Sorted'!B41,"")</f>
        <v/>
      </c>
      <c r="J41" s="1" t="str">
        <f>IF(E41&lt;&gt;"",ROWS($I$3:I41),"")</f>
        <v/>
      </c>
      <c r="K41" s="1" t="str">
        <f>IF(F41&lt;&gt;"",ROWS($I$3:J41),"")</f>
        <v/>
      </c>
      <c r="L41" s="1" t="str">
        <f>IF(G41&lt;&gt;"",ROWS($I$3:K41),"")</f>
        <v/>
      </c>
      <c r="M41" s="1" t="str">
        <f>IF(H41&lt;&gt;"",ROWS($I$3:L41),"")</f>
        <v/>
      </c>
      <c r="O41" s="2" t="str">
        <f>IFERROR(IF(INDEX(E$3:E$52,SMALL(J$3:J$52,ROWS($N$3:N41)+$B$6-1))&lt;&gt;"",CHAR(7)&amp; " "&amp;INDEX(E$3:E$52,SMALL(J$3:J$52,ROWS($N$3:N41)+$B$6-1)),""),"")</f>
        <v/>
      </c>
      <c r="P41" s="2" t="str">
        <f>IFERROR(IF(INDEX(F$3:F$52,SMALL(K$3:K$52,ROWS($N$3:O41)+$B$7-1))&lt;&gt;"",CHAR(7)&amp; " "&amp;INDEX(F$3:F$52,SMALL(K$3:K$52,ROWS($N$3:O41)+$B$7-1)),""),"")</f>
        <v/>
      </c>
      <c r="Q41" s="2" t="str">
        <f>IFERROR(IF(INDEX(G$3:G$52,SMALL(L$3:L$52,ROWS($N$3:P41)+$B$8-1))&lt;&gt;"",CHAR(7)&amp; " "&amp;INDEX(G$3:G$52,SMALL(L$3:L$52,ROWS($N$3:P41)+$B$8-1)),""),"")</f>
        <v/>
      </c>
      <c r="R41" s="2" t="str">
        <f>IFERROR(IF(INDEX(H$3:H$52,SMALL(M$3:M$52,ROWS($N$3:Q41)+$B$9-1))&lt;&gt;"",CHAR(7)&amp; " "&amp;INDEX(H$3:H$52,SMALL(M$3:M$52,ROWS($N$3:Q41)+$B$9-1)),""),"")</f>
        <v/>
      </c>
    </row>
    <row r="42" spans="3:18">
      <c r="C42" t="b">
        <f>IF('To Do List Sorted'!$E42=Sheet2!$A$15,TRUE,FALSE)</f>
        <v>0</v>
      </c>
      <c r="E42" s="1" t="str">
        <f>IF(AND('To Do List Sorted'!C42="Yes",'To Do List Sorted'!D42="Yes"),'To Do List Sorted'!B42,"")</f>
        <v/>
      </c>
      <c r="F42" s="1" t="str">
        <f>IF(AND('To Do List Sorted'!C42="Yes",'To Do List Sorted'!D42="No"),'To Do List Sorted'!B42,"")</f>
        <v/>
      </c>
      <c r="G42" s="1" t="str">
        <f>IF(AND('To Do List Sorted'!C42="No",'To Do List Sorted'!D42="Yes"),'To Do List Sorted'!B42,"")</f>
        <v/>
      </c>
      <c r="H42" s="1" t="str">
        <f>IF(AND('To Do List Sorted'!C42="No",'To Do List Sorted'!D42="No"),'To Do List Sorted'!B42,"")</f>
        <v/>
      </c>
      <c r="J42" s="1" t="str">
        <f>IF(E42&lt;&gt;"",ROWS($I$3:I42),"")</f>
        <v/>
      </c>
      <c r="K42" s="1" t="str">
        <f>IF(F42&lt;&gt;"",ROWS($I$3:J42),"")</f>
        <v/>
      </c>
      <c r="L42" s="1" t="str">
        <f>IF(G42&lt;&gt;"",ROWS($I$3:K42),"")</f>
        <v/>
      </c>
      <c r="M42" s="1" t="str">
        <f>IF(H42&lt;&gt;"",ROWS($I$3:L42),"")</f>
        <v/>
      </c>
      <c r="O42" s="2" t="str">
        <f>IFERROR(IF(INDEX(E$3:E$52,SMALL(J$3:J$52,ROWS($N$3:N42)+$B$6-1))&lt;&gt;"",CHAR(7)&amp; " "&amp;INDEX(E$3:E$52,SMALL(J$3:J$52,ROWS($N$3:N42)+$B$6-1)),""),"")</f>
        <v/>
      </c>
      <c r="P42" s="2" t="str">
        <f>IFERROR(IF(INDEX(F$3:F$52,SMALL(K$3:K$52,ROWS($N$3:O42)+$B$7-1))&lt;&gt;"",CHAR(7)&amp; " "&amp;INDEX(F$3:F$52,SMALL(K$3:K$52,ROWS($N$3:O42)+$B$7-1)),""),"")</f>
        <v/>
      </c>
      <c r="Q42" s="2" t="str">
        <f>IFERROR(IF(INDEX(G$3:G$52,SMALL(L$3:L$52,ROWS($N$3:P42)+$B$8-1))&lt;&gt;"",CHAR(7)&amp; " "&amp;INDEX(G$3:G$52,SMALL(L$3:L$52,ROWS($N$3:P42)+$B$8-1)),""),"")</f>
        <v/>
      </c>
      <c r="R42" s="2" t="str">
        <f>IFERROR(IF(INDEX(H$3:H$52,SMALL(M$3:M$52,ROWS($N$3:Q42)+$B$9-1))&lt;&gt;"",CHAR(7)&amp; " "&amp;INDEX(H$3:H$52,SMALL(M$3:M$52,ROWS($N$3:Q42)+$B$9-1)),""),"")</f>
        <v/>
      </c>
    </row>
    <row r="43" spans="3:18">
      <c r="C43" t="b">
        <f>IF('To Do List Sorted'!$E43=Sheet2!$A$15,TRUE,FALSE)</f>
        <v>0</v>
      </c>
      <c r="E43" s="1" t="str">
        <f>IF(AND('To Do List Sorted'!C43="Yes",'To Do List Sorted'!D43="Yes"),'To Do List Sorted'!B43,"")</f>
        <v/>
      </c>
      <c r="F43" s="1" t="str">
        <f>IF(AND('To Do List Sorted'!C43="Yes",'To Do List Sorted'!D43="No"),'To Do List Sorted'!B43,"")</f>
        <v/>
      </c>
      <c r="G43" s="1" t="str">
        <f>IF(AND('To Do List Sorted'!C43="No",'To Do List Sorted'!D43="Yes"),'To Do List Sorted'!B43,"")</f>
        <v/>
      </c>
      <c r="H43" s="1" t="str">
        <f>IF(AND('To Do List Sorted'!C43="No",'To Do List Sorted'!D43="No"),'To Do List Sorted'!B43,"")</f>
        <v/>
      </c>
      <c r="J43" s="1" t="str">
        <f>IF(E43&lt;&gt;"",ROWS($I$3:I43),"")</f>
        <v/>
      </c>
      <c r="K43" s="1" t="str">
        <f>IF(F43&lt;&gt;"",ROWS($I$3:J43),"")</f>
        <v/>
      </c>
      <c r="L43" s="1" t="str">
        <f>IF(G43&lt;&gt;"",ROWS($I$3:K43),"")</f>
        <v/>
      </c>
      <c r="M43" s="1" t="str">
        <f>IF(H43&lt;&gt;"",ROWS($I$3:L43),"")</f>
        <v/>
      </c>
      <c r="O43" s="2" t="str">
        <f>IFERROR(IF(INDEX(E$3:E$52,SMALL(J$3:J$52,ROWS($N$3:N43)+$B$6-1))&lt;&gt;"",CHAR(7)&amp; " "&amp;INDEX(E$3:E$52,SMALL(J$3:J$52,ROWS($N$3:N43)+$B$6-1)),""),"")</f>
        <v/>
      </c>
      <c r="P43" s="2" t="str">
        <f>IFERROR(IF(INDEX(F$3:F$52,SMALL(K$3:K$52,ROWS($N$3:O43)+$B$7-1))&lt;&gt;"",CHAR(7)&amp; " "&amp;INDEX(F$3:F$52,SMALL(K$3:K$52,ROWS($N$3:O43)+$B$7-1)),""),"")</f>
        <v/>
      </c>
      <c r="Q43" s="2" t="str">
        <f>IFERROR(IF(INDEX(G$3:G$52,SMALL(L$3:L$52,ROWS($N$3:P43)+$B$8-1))&lt;&gt;"",CHAR(7)&amp; " "&amp;INDEX(G$3:G$52,SMALL(L$3:L$52,ROWS($N$3:P43)+$B$8-1)),""),"")</f>
        <v/>
      </c>
      <c r="R43" s="2" t="str">
        <f>IFERROR(IF(INDEX(H$3:H$52,SMALL(M$3:M$52,ROWS($N$3:Q43)+$B$9-1))&lt;&gt;"",CHAR(7)&amp; " "&amp;INDEX(H$3:H$52,SMALL(M$3:M$52,ROWS($N$3:Q43)+$B$9-1)),""),"")</f>
        <v/>
      </c>
    </row>
    <row r="44" spans="3:18">
      <c r="C44" t="b">
        <f>IF('To Do List Sorted'!$E44=Sheet2!$A$15,TRUE,FALSE)</f>
        <v>0</v>
      </c>
      <c r="E44" s="1" t="str">
        <f>IF(AND('To Do List Sorted'!C44="Yes",'To Do List Sorted'!D44="Yes"),'To Do List Sorted'!B44,"")</f>
        <v/>
      </c>
      <c r="F44" s="1" t="str">
        <f>IF(AND('To Do List Sorted'!C44="Yes",'To Do List Sorted'!D44="No"),'To Do List Sorted'!B44,"")</f>
        <v/>
      </c>
      <c r="G44" s="1" t="str">
        <f>IF(AND('To Do List Sorted'!C44="No",'To Do List Sorted'!D44="Yes"),'To Do List Sorted'!B44,"")</f>
        <v/>
      </c>
      <c r="H44" s="1" t="str">
        <f>IF(AND('To Do List Sorted'!C44="No",'To Do List Sorted'!D44="No"),'To Do List Sorted'!B44,"")</f>
        <v/>
      </c>
      <c r="J44" s="1" t="str">
        <f>IF(E44&lt;&gt;"",ROWS($I$3:I44),"")</f>
        <v/>
      </c>
      <c r="K44" s="1" t="str">
        <f>IF(F44&lt;&gt;"",ROWS($I$3:J44),"")</f>
        <v/>
      </c>
      <c r="L44" s="1" t="str">
        <f>IF(G44&lt;&gt;"",ROWS($I$3:K44),"")</f>
        <v/>
      </c>
      <c r="M44" s="1" t="str">
        <f>IF(H44&lt;&gt;"",ROWS($I$3:L44),"")</f>
        <v/>
      </c>
      <c r="O44" s="2" t="str">
        <f>IFERROR(IF(INDEX(E$3:E$52,SMALL(J$3:J$52,ROWS($N$3:N44)+$B$6-1))&lt;&gt;"",CHAR(7)&amp; " "&amp;INDEX(E$3:E$52,SMALL(J$3:J$52,ROWS($N$3:N44)+$B$6-1)),""),"")</f>
        <v/>
      </c>
      <c r="P44" s="2" t="str">
        <f>IFERROR(IF(INDEX(F$3:F$52,SMALL(K$3:K$52,ROWS($N$3:O44)+$B$7-1))&lt;&gt;"",CHAR(7)&amp; " "&amp;INDEX(F$3:F$52,SMALL(K$3:K$52,ROWS($N$3:O44)+$B$7-1)),""),"")</f>
        <v/>
      </c>
      <c r="Q44" s="2" t="str">
        <f>IFERROR(IF(INDEX(G$3:G$52,SMALL(L$3:L$52,ROWS($N$3:P44)+$B$8-1))&lt;&gt;"",CHAR(7)&amp; " "&amp;INDEX(G$3:G$52,SMALL(L$3:L$52,ROWS($N$3:P44)+$B$8-1)),""),"")</f>
        <v/>
      </c>
      <c r="R44" s="2" t="str">
        <f>IFERROR(IF(INDEX(H$3:H$52,SMALL(M$3:M$52,ROWS($N$3:Q44)+$B$9-1))&lt;&gt;"",CHAR(7)&amp; " "&amp;INDEX(H$3:H$52,SMALL(M$3:M$52,ROWS($N$3:Q44)+$B$9-1)),""),"")</f>
        <v/>
      </c>
    </row>
    <row r="45" spans="3:18">
      <c r="C45" t="b">
        <f>IF('To Do List Sorted'!$E45=Sheet2!$A$15,TRUE,FALSE)</f>
        <v>0</v>
      </c>
      <c r="E45" s="1" t="str">
        <f>IF(AND('To Do List Sorted'!C45="Yes",'To Do List Sorted'!D45="Yes"),'To Do List Sorted'!B45,"")</f>
        <v/>
      </c>
      <c r="F45" s="1" t="str">
        <f>IF(AND('To Do List Sorted'!C45="Yes",'To Do List Sorted'!D45="No"),'To Do List Sorted'!B45,"")</f>
        <v/>
      </c>
      <c r="G45" s="1" t="str">
        <f>IF(AND('To Do List Sorted'!C45="No",'To Do List Sorted'!D45="Yes"),'To Do List Sorted'!B45,"")</f>
        <v/>
      </c>
      <c r="H45" s="1" t="str">
        <f>IF(AND('To Do List Sorted'!C45="No",'To Do List Sorted'!D45="No"),'To Do List Sorted'!B45,"")</f>
        <v/>
      </c>
      <c r="J45" s="1" t="str">
        <f>IF(E45&lt;&gt;"",ROWS($I$3:I45),"")</f>
        <v/>
      </c>
      <c r="K45" s="1" t="str">
        <f>IF(F45&lt;&gt;"",ROWS($I$3:J45),"")</f>
        <v/>
      </c>
      <c r="L45" s="1" t="str">
        <f>IF(G45&lt;&gt;"",ROWS($I$3:K45),"")</f>
        <v/>
      </c>
      <c r="M45" s="1" t="str">
        <f>IF(H45&lt;&gt;"",ROWS($I$3:L45),"")</f>
        <v/>
      </c>
      <c r="O45" s="2" t="str">
        <f>IFERROR(IF(INDEX(E$3:E$52,SMALL(J$3:J$52,ROWS($N$3:N45)+$B$6-1))&lt;&gt;"",CHAR(7)&amp; " "&amp;INDEX(E$3:E$52,SMALL(J$3:J$52,ROWS($N$3:N45)+$B$6-1)),""),"")</f>
        <v/>
      </c>
      <c r="P45" s="2" t="str">
        <f>IFERROR(IF(INDEX(F$3:F$52,SMALL(K$3:K$52,ROWS($N$3:O45)+$B$7-1))&lt;&gt;"",CHAR(7)&amp; " "&amp;INDEX(F$3:F$52,SMALL(K$3:K$52,ROWS($N$3:O45)+$B$7-1)),""),"")</f>
        <v/>
      </c>
      <c r="Q45" s="2" t="str">
        <f>IFERROR(IF(INDEX(G$3:G$52,SMALL(L$3:L$52,ROWS($N$3:P45)+$B$8-1))&lt;&gt;"",CHAR(7)&amp; " "&amp;INDEX(G$3:G$52,SMALL(L$3:L$52,ROWS($N$3:P45)+$B$8-1)),""),"")</f>
        <v/>
      </c>
      <c r="R45" s="2" t="str">
        <f>IFERROR(IF(INDEX(H$3:H$52,SMALL(M$3:M$52,ROWS($N$3:Q45)+$B$9-1))&lt;&gt;"",CHAR(7)&amp; " "&amp;INDEX(H$3:H$52,SMALL(M$3:M$52,ROWS($N$3:Q45)+$B$9-1)),""),"")</f>
        <v/>
      </c>
    </row>
    <row r="46" spans="3:18">
      <c r="C46" t="b">
        <f>IF('To Do List Sorted'!$E46=Sheet2!$A$15,TRUE,FALSE)</f>
        <v>0</v>
      </c>
      <c r="E46" s="1" t="str">
        <f>IF(AND('To Do List Sorted'!C46="Yes",'To Do List Sorted'!D46="Yes"),'To Do List Sorted'!B46,"")</f>
        <v/>
      </c>
      <c r="F46" s="1" t="str">
        <f>IF(AND('To Do List Sorted'!C46="Yes",'To Do List Sorted'!D46="No"),'To Do List Sorted'!B46,"")</f>
        <v/>
      </c>
      <c r="G46" s="1" t="str">
        <f>IF(AND('To Do List Sorted'!C46="No",'To Do List Sorted'!D46="Yes"),'To Do List Sorted'!B46,"")</f>
        <v/>
      </c>
      <c r="H46" s="1" t="str">
        <f>IF(AND('To Do List Sorted'!C46="No",'To Do List Sorted'!D46="No"),'To Do List Sorted'!B46,"")</f>
        <v/>
      </c>
      <c r="J46" s="1" t="str">
        <f>IF(E46&lt;&gt;"",ROWS($I$3:I46),"")</f>
        <v/>
      </c>
      <c r="K46" s="1" t="str">
        <f>IF(F46&lt;&gt;"",ROWS($I$3:J46),"")</f>
        <v/>
      </c>
      <c r="L46" s="1" t="str">
        <f>IF(G46&lt;&gt;"",ROWS($I$3:K46),"")</f>
        <v/>
      </c>
      <c r="M46" s="1" t="str">
        <f>IF(H46&lt;&gt;"",ROWS($I$3:L46),"")</f>
        <v/>
      </c>
      <c r="O46" s="2" t="str">
        <f>IFERROR(IF(INDEX(E$3:E$52,SMALL(J$3:J$52,ROWS($N$3:N46)+$B$6-1))&lt;&gt;"",CHAR(7)&amp; " "&amp;INDEX(E$3:E$52,SMALL(J$3:J$52,ROWS($N$3:N46)+$B$6-1)),""),"")</f>
        <v/>
      </c>
      <c r="P46" s="2" t="str">
        <f>IFERROR(IF(INDEX(F$3:F$52,SMALL(K$3:K$52,ROWS($N$3:O46)+$B$7-1))&lt;&gt;"",CHAR(7)&amp; " "&amp;INDEX(F$3:F$52,SMALL(K$3:K$52,ROWS($N$3:O46)+$B$7-1)),""),"")</f>
        <v/>
      </c>
      <c r="Q46" s="2" t="str">
        <f>IFERROR(IF(INDEX(G$3:G$52,SMALL(L$3:L$52,ROWS($N$3:P46)+$B$8-1))&lt;&gt;"",CHAR(7)&amp; " "&amp;INDEX(G$3:G$52,SMALL(L$3:L$52,ROWS($N$3:P46)+$B$8-1)),""),"")</f>
        <v/>
      </c>
      <c r="R46" s="2" t="str">
        <f>IFERROR(IF(INDEX(H$3:H$52,SMALL(M$3:M$52,ROWS($N$3:Q46)+$B$9-1))&lt;&gt;"",CHAR(7)&amp; " "&amp;INDEX(H$3:H$52,SMALL(M$3:M$52,ROWS($N$3:Q46)+$B$9-1)),""),"")</f>
        <v/>
      </c>
    </row>
    <row r="47" spans="3:18">
      <c r="C47" t="b">
        <f>IF('To Do List Sorted'!$E47=Sheet2!$A$15,TRUE,FALSE)</f>
        <v>0</v>
      </c>
      <c r="E47" s="1" t="str">
        <f>IF(AND('To Do List Sorted'!C47="Yes",'To Do List Sorted'!D47="Yes"),'To Do List Sorted'!B47,"")</f>
        <v/>
      </c>
      <c r="F47" s="1" t="str">
        <f>IF(AND('To Do List Sorted'!C47="Yes",'To Do List Sorted'!D47="No"),'To Do List Sorted'!B47,"")</f>
        <v/>
      </c>
      <c r="G47" s="1" t="str">
        <f>IF(AND('To Do List Sorted'!C47="No",'To Do List Sorted'!D47="Yes"),'To Do List Sorted'!B47,"")</f>
        <v/>
      </c>
      <c r="H47" s="1" t="str">
        <f>IF(AND('To Do List Sorted'!C47="No",'To Do List Sorted'!D47="No"),'To Do List Sorted'!B47,"")</f>
        <v/>
      </c>
      <c r="J47" s="1" t="str">
        <f>IF(E47&lt;&gt;"",ROWS($I$3:I47),"")</f>
        <v/>
      </c>
      <c r="K47" s="1" t="str">
        <f>IF(F47&lt;&gt;"",ROWS($I$3:J47),"")</f>
        <v/>
      </c>
      <c r="L47" s="1" t="str">
        <f>IF(G47&lt;&gt;"",ROWS($I$3:K47),"")</f>
        <v/>
      </c>
      <c r="M47" s="1" t="str">
        <f>IF(H47&lt;&gt;"",ROWS($I$3:L47),"")</f>
        <v/>
      </c>
      <c r="O47" s="2" t="str">
        <f>IFERROR(IF(INDEX(E$3:E$52,SMALL(J$3:J$52,ROWS($N$3:N47)+$B$6-1))&lt;&gt;"",CHAR(7)&amp; " "&amp;INDEX(E$3:E$52,SMALL(J$3:J$52,ROWS($N$3:N47)+$B$6-1)),""),"")</f>
        <v/>
      </c>
      <c r="P47" s="2" t="str">
        <f>IFERROR(IF(INDEX(F$3:F$52,SMALL(K$3:K$52,ROWS($N$3:O47)+$B$7-1))&lt;&gt;"",CHAR(7)&amp; " "&amp;INDEX(F$3:F$52,SMALL(K$3:K$52,ROWS($N$3:O47)+$B$7-1)),""),"")</f>
        <v/>
      </c>
      <c r="Q47" s="2" t="str">
        <f>IFERROR(IF(INDEX(G$3:G$52,SMALL(L$3:L$52,ROWS($N$3:P47)+$B$8-1))&lt;&gt;"",CHAR(7)&amp; " "&amp;INDEX(G$3:G$52,SMALL(L$3:L$52,ROWS($N$3:P47)+$B$8-1)),""),"")</f>
        <v/>
      </c>
      <c r="R47" s="2" t="str">
        <f>IFERROR(IF(INDEX(H$3:H$52,SMALL(M$3:M$52,ROWS($N$3:Q47)+$B$9-1))&lt;&gt;"",CHAR(7)&amp; " "&amp;INDEX(H$3:H$52,SMALL(M$3:M$52,ROWS($N$3:Q47)+$B$9-1)),""),"")</f>
        <v/>
      </c>
    </row>
    <row r="48" spans="3:18">
      <c r="C48" t="b">
        <f>IF('To Do List Sorted'!$E48=Sheet2!$A$15,TRUE,FALSE)</f>
        <v>0</v>
      </c>
      <c r="E48" s="1" t="str">
        <f>IF(AND('To Do List Sorted'!C48="Yes",'To Do List Sorted'!D48="Yes"),'To Do List Sorted'!B48,"")</f>
        <v/>
      </c>
      <c r="F48" s="1" t="str">
        <f>IF(AND('To Do List Sorted'!C48="Yes",'To Do List Sorted'!D48="No"),'To Do List Sorted'!B48,"")</f>
        <v/>
      </c>
      <c r="G48" s="1" t="str">
        <f>IF(AND('To Do List Sorted'!C48="No",'To Do List Sorted'!D48="Yes"),'To Do List Sorted'!B48,"")</f>
        <v/>
      </c>
      <c r="H48" s="1" t="str">
        <f>IF(AND('To Do List Sorted'!C48="No",'To Do List Sorted'!D48="No"),'To Do List Sorted'!B48,"")</f>
        <v/>
      </c>
      <c r="J48" s="1" t="str">
        <f>IF(E48&lt;&gt;"",ROWS($I$3:I48),"")</f>
        <v/>
      </c>
      <c r="K48" s="1" t="str">
        <f>IF(F48&lt;&gt;"",ROWS($I$3:J48),"")</f>
        <v/>
      </c>
      <c r="L48" s="1" t="str">
        <f>IF(G48&lt;&gt;"",ROWS($I$3:K48),"")</f>
        <v/>
      </c>
      <c r="M48" s="1" t="str">
        <f>IF(H48&lt;&gt;"",ROWS($I$3:L48),"")</f>
        <v/>
      </c>
      <c r="O48" s="2" t="str">
        <f>IFERROR(IF(INDEX(E$3:E$52,SMALL(J$3:J$52,ROWS($N$3:N48)+$B$6-1))&lt;&gt;"",CHAR(7)&amp; " "&amp;INDEX(E$3:E$52,SMALL(J$3:J$52,ROWS($N$3:N48)+$B$6-1)),""),"")</f>
        <v/>
      </c>
      <c r="P48" s="2" t="str">
        <f>IFERROR(IF(INDEX(F$3:F$52,SMALL(K$3:K$52,ROWS($N$3:O48)+$B$7-1))&lt;&gt;"",CHAR(7)&amp; " "&amp;INDEX(F$3:F$52,SMALL(K$3:K$52,ROWS($N$3:O48)+$B$7-1)),""),"")</f>
        <v/>
      </c>
      <c r="Q48" s="2" t="str">
        <f>IFERROR(IF(INDEX(G$3:G$52,SMALL(L$3:L$52,ROWS($N$3:P48)+$B$8-1))&lt;&gt;"",CHAR(7)&amp; " "&amp;INDEX(G$3:G$52,SMALL(L$3:L$52,ROWS($N$3:P48)+$B$8-1)),""),"")</f>
        <v/>
      </c>
      <c r="R48" s="2" t="str">
        <f>IFERROR(IF(INDEX(H$3:H$52,SMALL(M$3:M$52,ROWS($N$3:Q48)+$B$9-1))&lt;&gt;"",CHAR(7)&amp; " "&amp;INDEX(H$3:H$52,SMALL(M$3:M$52,ROWS($N$3:Q48)+$B$9-1)),""),"")</f>
        <v/>
      </c>
    </row>
    <row r="49" spans="3:18">
      <c r="C49" t="b">
        <f>IF('To Do List Sorted'!$E49=Sheet2!$A$15,TRUE,FALSE)</f>
        <v>0</v>
      </c>
      <c r="E49" s="1" t="str">
        <f>IF(AND('To Do List Sorted'!C49="Yes",'To Do List Sorted'!D49="Yes"),'To Do List Sorted'!B49,"")</f>
        <v/>
      </c>
      <c r="F49" s="1" t="str">
        <f>IF(AND('To Do List Sorted'!C49="Yes",'To Do List Sorted'!D49="No"),'To Do List Sorted'!B49,"")</f>
        <v/>
      </c>
      <c r="G49" s="1" t="str">
        <f>IF(AND('To Do List Sorted'!C49="No",'To Do List Sorted'!D49="Yes"),'To Do List Sorted'!B49,"")</f>
        <v/>
      </c>
      <c r="H49" s="1" t="str">
        <f>IF(AND('To Do List Sorted'!C49="No",'To Do List Sorted'!D49="No"),'To Do List Sorted'!B49,"")</f>
        <v/>
      </c>
      <c r="J49" s="1" t="str">
        <f>IF(E49&lt;&gt;"",ROWS($I$3:I49),"")</f>
        <v/>
      </c>
      <c r="K49" s="1" t="str">
        <f>IF(F49&lt;&gt;"",ROWS($I$3:J49),"")</f>
        <v/>
      </c>
      <c r="L49" s="1" t="str">
        <f>IF(G49&lt;&gt;"",ROWS($I$3:K49),"")</f>
        <v/>
      </c>
      <c r="M49" s="1" t="str">
        <f>IF(H49&lt;&gt;"",ROWS($I$3:L49),"")</f>
        <v/>
      </c>
      <c r="O49" s="2" t="str">
        <f>IFERROR(IF(INDEX(E$3:E$52,SMALL(J$3:J$52,ROWS($N$3:N49)+$B$6-1))&lt;&gt;"",CHAR(7)&amp; " "&amp;INDEX(E$3:E$52,SMALL(J$3:J$52,ROWS($N$3:N49)+$B$6-1)),""),"")</f>
        <v/>
      </c>
      <c r="P49" s="2" t="str">
        <f>IFERROR(IF(INDEX(F$3:F$52,SMALL(K$3:K$52,ROWS($N$3:O49)+$B$7-1))&lt;&gt;"",CHAR(7)&amp; " "&amp;INDEX(F$3:F$52,SMALL(K$3:K$52,ROWS($N$3:O49)+$B$7-1)),""),"")</f>
        <v/>
      </c>
      <c r="Q49" s="2" t="str">
        <f>IFERROR(IF(INDEX(G$3:G$52,SMALL(L$3:L$52,ROWS($N$3:P49)+$B$8-1))&lt;&gt;"",CHAR(7)&amp; " "&amp;INDEX(G$3:G$52,SMALL(L$3:L$52,ROWS($N$3:P49)+$B$8-1)),""),"")</f>
        <v/>
      </c>
      <c r="R49" s="2" t="str">
        <f>IFERROR(IF(INDEX(H$3:H$52,SMALL(M$3:M$52,ROWS($N$3:Q49)+$B$9-1))&lt;&gt;"",CHAR(7)&amp; " "&amp;INDEX(H$3:H$52,SMALL(M$3:M$52,ROWS($N$3:Q49)+$B$9-1)),""),"")</f>
        <v/>
      </c>
    </row>
    <row r="50" spans="3:18">
      <c r="C50" t="b">
        <f>IF('To Do List Sorted'!$E50=Sheet2!$A$15,TRUE,FALSE)</f>
        <v>0</v>
      </c>
      <c r="E50" s="1" t="str">
        <f>IF(AND('To Do List Sorted'!C50="Yes",'To Do List Sorted'!D50="Yes"),'To Do List Sorted'!B50,"")</f>
        <v/>
      </c>
      <c r="F50" s="1" t="str">
        <f>IF(AND('To Do List Sorted'!C50="Yes",'To Do List Sorted'!D50="No"),'To Do List Sorted'!B50,"")</f>
        <v/>
      </c>
      <c r="G50" s="1" t="str">
        <f>IF(AND('To Do List Sorted'!C50="No",'To Do List Sorted'!D50="Yes"),'To Do List Sorted'!B50,"")</f>
        <v/>
      </c>
      <c r="H50" s="1" t="str">
        <f>IF(AND('To Do List Sorted'!C50="No",'To Do List Sorted'!D50="No"),'To Do List Sorted'!B50,"")</f>
        <v/>
      </c>
      <c r="J50" s="1" t="str">
        <f>IF(E50&lt;&gt;"",ROWS($I$3:I50),"")</f>
        <v/>
      </c>
      <c r="K50" s="1" t="str">
        <f>IF(F50&lt;&gt;"",ROWS($I$3:J50),"")</f>
        <v/>
      </c>
      <c r="L50" s="1" t="str">
        <f>IF(G50&lt;&gt;"",ROWS($I$3:K50),"")</f>
        <v/>
      </c>
      <c r="M50" s="1" t="str">
        <f>IF(H50&lt;&gt;"",ROWS($I$3:L50),"")</f>
        <v/>
      </c>
      <c r="O50" s="2" t="str">
        <f>IFERROR(IF(INDEX(E$3:E$52,SMALL(J$3:J$52,ROWS($N$3:N52)+$B$6-1))&lt;&gt;"",CHAR(7)&amp; " "&amp;INDEX(E$3:E$52,SMALL(J$3:J$52,ROWS($N$3:N52)+$B$6-1)),""),"")</f>
        <v/>
      </c>
      <c r="P50" s="2" t="str">
        <f>IFERROR(IF(INDEX(F$3:F$52,SMALL(K$3:K$52,ROWS($N$3:O52)+$B$7-1))&lt;&gt;"",CHAR(7)&amp; " "&amp;INDEX(F$3:F$52,SMALL(K$3:K$52,ROWS($N$3:O52)+$B$7-1)),""),"")</f>
        <v/>
      </c>
      <c r="Q50" s="2" t="str">
        <f>IFERROR(IF(INDEX(G$3:G$52,SMALL(L$3:L$52,ROWS($N$3:P50)+$B$8-1))&lt;&gt;"",CHAR(7)&amp; " "&amp;INDEX(G$3:G$52,SMALL(L$3:L$52,ROWS($N$3:P50)+$B$8-1)),""),"")</f>
        <v/>
      </c>
      <c r="R50" s="2" t="str">
        <f>IFERROR(IF(INDEX(H$3:H$52,SMALL(M$3:M$52,ROWS($N$3:Q52)+$B$9-1))&lt;&gt;"",CHAR(7)&amp; " "&amp;INDEX(H$3:H$52,SMALL(M$3:M$52,ROWS($N$3:Q52)+$B$9-1)),""),"")</f>
        <v/>
      </c>
    </row>
    <row r="51" spans="3:18">
      <c r="C51" t="b">
        <f>IF('To Do List Sorted'!$E51=Sheet2!$A$15,TRUE,FALSE)</f>
        <v>0</v>
      </c>
      <c r="E51" s="1" t="str">
        <f>IF(AND('To Do List Sorted'!C51="Yes",'To Do List Sorted'!D51="Yes"),'To Do List Sorted'!B51,"")</f>
        <v/>
      </c>
      <c r="F51" s="1" t="str">
        <f>IF(AND('To Do List Sorted'!C51="Yes",'To Do List Sorted'!D51="No"),'To Do List Sorted'!B51,"")</f>
        <v/>
      </c>
      <c r="G51" s="1" t="str">
        <f>IF(AND('To Do List Sorted'!C51="No",'To Do List Sorted'!D51="Yes"),'To Do List Sorted'!B51,"")</f>
        <v/>
      </c>
      <c r="H51" s="1" t="str">
        <f>IF(AND('To Do List Sorted'!C51="No",'To Do List Sorted'!D51="No"),'To Do List Sorted'!B51,"")</f>
        <v/>
      </c>
      <c r="J51" s="1" t="str">
        <f>IF(E51&lt;&gt;"",ROWS($I$3:I51),"")</f>
        <v/>
      </c>
      <c r="K51" s="1" t="str">
        <f>IF(F51&lt;&gt;"",ROWS($I$3:J51),"")</f>
        <v/>
      </c>
      <c r="L51" s="1" t="str">
        <f>IF(G51&lt;&gt;"",ROWS($I$3:K51),"")</f>
        <v/>
      </c>
      <c r="M51" s="1" t="str">
        <f>IF(H51&lt;&gt;"",ROWS($I$3:L51),"")</f>
        <v/>
      </c>
      <c r="O51" s="2" t="str">
        <f>IFERROR(IF(INDEX(E$3:E$52,SMALL(J$3:J$52,ROWS($N$3:N53)+$B$6-1))&lt;&gt;"",CHAR(7)&amp; " "&amp;INDEX(E$3:E$52,SMALL(J$3:J$52,ROWS($N$3:N53)+$B$6-1)),""),"")</f>
        <v/>
      </c>
      <c r="P51" s="2" t="str">
        <f>IFERROR(IF(INDEX(F$3:F$52,SMALL(K$3:K$52,ROWS($N$3:O53)+$B$7-1))&lt;&gt;"",CHAR(7)&amp; " "&amp;INDEX(F$3:F$52,SMALL(K$3:K$52,ROWS($N$3:O53)+$B$7-1)),""),"")</f>
        <v/>
      </c>
      <c r="Q51" s="2" t="str">
        <f>IFERROR(IF(INDEX(G$3:G$52,SMALL(L$3:L$52,ROWS($N$3:P51)+$B$8-1))&lt;&gt;"",CHAR(7)&amp; " "&amp;INDEX(G$3:G$52,SMALL(L$3:L$52,ROWS($N$3:P51)+$B$8-1)),""),"")</f>
        <v/>
      </c>
      <c r="R51" s="2" t="str">
        <f>IFERROR(IF(INDEX(H$3:H$52,SMALL(M$3:M$52,ROWS($N$3:Q53)+$B$9-1))&lt;&gt;"",CHAR(7)&amp; " "&amp;INDEX(H$3:H$52,SMALL(M$3:M$52,ROWS($N$3:Q53)+$B$9-1)),""),"")</f>
        <v/>
      </c>
    </row>
    <row r="52" spans="3:18">
      <c r="C52" t="b">
        <f>IF('To Do List Sorted'!$E52=Sheet2!$A$15,TRUE,FALSE)</f>
        <v>0</v>
      </c>
      <c r="E52" s="1" t="str">
        <f>IF(AND('To Do List Sorted'!C52="Yes",'To Do List Sorted'!D52="Yes"),'To Do List Sorted'!B52,"")</f>
        <v/>
      </c>
      <c r="F52" s="1" t="str">
        <f>IF(AND('To Do List Sorted'!C52="Yes",'To Do List Sorted'!D52="No"),'To Do List Sorted'!B52,"")</f>
        <v/>
      </c>
      <c r="G52" s="1" t="str">
        <f>IF(AND('To Do List Sorted'!C52="No",'To Do List Sorted'!D52="Yes"),'To Do List Sorted'!B52,"")</f>
        <v/>
      </c>
      <c r="H52" s="1" t="str">
        <f>IF(AND('To Do List Sorted'!C52="No",'To Do List Sorted'!D52="No"),'To Do List Sorted'!B52,"")</f>
        <v/>
      </c>
      <c r="J52" s="1" t="str">
        <f>IF(E52&lt;&gt;"",ROWS($I$3:I52),"")</f>
        <v/>
      </c>
      <c r="K52" s="1" t="str">
        <f>IF(F52&lt;&gt;"",ROWS($I$3:J52),"")</f>
        <v/>
      </c>
      <c r="L52" s="1" t="str">
        <f>IF(G52&lt;&gt;"",ROWS($I$3:K52),"")</f>
        <v/>
      </c>
      <c r="M52" s="1" t="str">
        <f>IF(H52&lt;&gt;"",ROWS($I$3:L52),"")</f>
        <v/>
      </c>
      <c r="O52" s="2" t="str">
        <f>IFERROR(IF(INDEX(E$3:E$52,SMALL(J$3:J$52,ROWS($N$3:N54)+$B$6-1))&lt;&gt;"",CHAR(7)&amp; " "&amp;INDEX(E$3:E$52,SMALL(J$3:J$52,ROWS($N$3:N54)+$B$6-1)),""),"")</f>
        <v/>
      </c>
      <c r="P52" s="2" t="str">
        <f>IFERROR(IF(INDEX(F$3:F$52,SMALL(K$3:K$52,ROWS($N$3:O54)+$B$7-1))&lt;&gt;"",CHAR(7)&amp; " "&amp;INDEX(F$3:F$52,SMALL(K$3:K$52,ROWS($N$3:O54)+$B$7-1)),""),"")</f>
        <v/>
      </c>
      <c r="Q52" s="2" t="str">
        <f>IFERROR(IF(INDEX(G$3:G$52,SMALL(L$3:L$52,ROWS($N$3:P52)+$B$8-1))&lt;&gt;"",CHAR(7)&amp; " "&amp;INDEX(G$3:G$52,SMALL(L$3:L$52,ROWS($N$3:P52)+$B$8-1)),""),"")</f>
        <v/>
      </c>
      <c r="R52" s="2" t="str">
        <f>IFERROR(IF(INDEX(H$3:H$52,SMALL(M$3:M$52,ROWS($N$3:Q54)+$B$9-1))&lt;&gt;"",CHAR(7)&amp; " "&amp;INDEX(H$3:H$52,SMALL(M$3:M$52,ROWS($N$3:Q54)+$B$9-1)),""),"")</f>
        <v/>
      </c>
    </row>
    <row r="53" spans="3:18">
      <c r="O53">
        <f>IF(COUNTIF($O$3:$O$52,"?*")&gt;10,COUNTIF($O$3:$O$52,"?*"),10)</f>
        <v>10</v>
      </c>
    </row>
    <row r="58" spans="3:18">
      <c r="E58" s="1" t="s">
        <v>8</v>
      </c>
      <c r="F58" s="1">
        <f t="array" ref="F58">SUMPRODUCT(--('To Do List Sorted'!$C$3:$C$52="Yes"),--('To Do List Sorted'!$D$3:$D$52="Yes"))</f>
        <v>2</v>
      </c>
    </row>
    <row r="59" spans="3:18">
      <c r="E59" s="1" t="s">
        <v>9</v>
      </c>
      <c r="F59" s="1">
        <f t="array" ref="F59">SUMPRODUCT(--('To Do List Sorted'!$C$3:$C$52="No"),--('To Do List Sorted'!$D$3:$D$52="Yes"))</f>
        <v>2</v>
      </c>
    </row>
    <row r="60" spans="3:18">
      <c r="E60" s="1" t="s">
        <v>10</v>
      </c>
      <c r="F60" s="1">
        <f t="array" ref="F60">SUMPRODUCT(--('To Do List Sorted'!$C$3:$C$52="Yes"),--('To Do List Sorted'!$D$3:$D$52="No"))</f>
        <v>2</v>
      </c>
    </row>
    <row r="61" spans="3:18">
      <c r="E61" s="1" t="s">
        <v>11</v>
      </c>
      <c r="F61" s="1">
        <f t="array" ref="F61">SUMPRODUCT(--('To Do List Sorted'!$C$3:$C$52="No"),--('To Do List Sorted'!$D$3:$D$52="No"))</f>
        <v>2</v>
      </c>
    </row>
  </sheetData>
  <conditionalFormatting sqref="O3:O52">
    <cfRule type="expression" dxfId="7" priority="4">
      <formula>INDEX($C$3:$C$52,SMALL($J$3:$J$52,ROWS($S$3:S3)+$B$6-1))</formula>
    </cfRule>
  </conditionalFormatting>
  <conditionalFormatting sqref="P3:P52">
    <cfRule type="expression" dxfId="6" priority="3">
      <formula>INDEX($C$3:$C$52,SMALL($K$3:$K$52,ROWS($S$3:S3)+$B$7-1))</formula>
    </cfRule>
  </conditionalFormatting>
  <conditionalFormatting sqref="Q3:Q52">
    <cfRule type="expression" dxfId="5" priority="2">
      <formula>INDEX($C$3:$C$52,SMALL($L$3:$L$52,ROWS($S$3:S3)+$B$8-1))</formula>
    </cfRule>
  </conditionalFormatting>
  <conditionalFormatting sqref="R3:R52">
    <cfRule type="expression" dxfId="4" priority="1">
      <formula>INDEX($C$3:$C$52,SMALL($M$3:$M$52,ROWS($S$3:S3)+$B$8-1))</formula>
    </cfRule>
  </conditionalFormatting>
  <pageMargins left="0.7" right="0.7" top="0.75" bottom="0.75" header="0.3" footer="0.3"/>
  <pageSetup paperSize="9" orientation="portrait" r:id="rId1"/>
  <ignoredErrors>
    <ignoredError sqref="Q3" formula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B5:L19"/>
  <sheetViews>
    <sheetView showGridLines="0" tabSelected="1" zoomScaleNormal="100" workbookViewId="0">
      <selection activeCell="B5" sqref="B5"/>
    </sheetView>
  </sheetViews>
  <sheetFormatPr defaultRowHeight="14.25"/>
  <cols>
    <col min="1" max="1" width="1.75" customWidth="1"/>
    <col min="2" max="2" width="38.75" customWidth="1"/>
    <col min="3" max="3" width="4.625" customWidth="1"/>
    <col min="4" max="4" width="1.75" customWidth="1"/>
    <col min="5" max="5" width="38.75" customWidth="1"/>
    <col min="6" max="6" width="4.625" customWidth="1"/>
    <col min="7" max="7" width="1.75" customWidth="1"/>
    <col min="8" max="8" width="38.75" customWidth="1"/>
    <col min="9" max="9" width="4.625" customWidth="1"/>
    <col min="10" max="10" width="1.75" customWidth="1"/>
    <col min="11" max="11" width="38.75" customWidth="1"/>
    <col min="12" max="12" width="4.625" customWidth="1"/>
  </cols>
  <sheetData>
    <row r="5" spans="2:12">
      <c r="B5" s="20" t="str">
        <f>Sheet2!O3</f>
        <v>• Task 1</v>
      </c>
      <c r="C5" s="7"/>
      <c r="E5" s="16" t="str">
        <f>Sheet2!P3</f>
        <v>• Task 5</v>
      </c>
      <c r="F5" s="7"/>
      <c r="H5" s="16" t="str">
        <f>Sheet2!Q3</f>
        <v>• Task 3</v>
      </c>
      <c r="I5" s="7"/>
      <c r="K5" s="16" t="str">
        <f>Sheet2!R3</f>
        <v>• Task 7</v>
      </c>
      <c r="L5" s="7"/>
    </row>
    <row r="6" spans="2:12">
      <c r="B6" s="21" t="str">
        <f>Sheet2!O4</f>
        <v>• Task 2</v>
      </c>
      <c r="C6" s="14"/>
      <c r="E6" s="17" t="str">
        <f>Sheet2!P4</f>
        <v>• Task 6</v>
      </c>
      <c r="F6" s="14"/>
      <c r="H6" s="17" t="str">
        <f>Sheet2!Q4</f>
        <v>• Task 4</v>
      </c>
      <c r="I6" s="14"/>
      <c r="K6" s="17" t="str">
        <f>Sheet2!R4</f>
        <v>• Task 8</v>
      </c>
      <c r="L6" s="14"/>
    </row>
    <row r="7" spans="2:12">
      <c r="B7" s="21" t="str">
        <f>Sheet2!O5</f>
        <v/>
      </c>
      <c r="C7" s="14"/>
      <c r="E7" s="17" t="str">
        <f>Sheet2!P5</f>
        <v/>
      </c>
      <c r="F7" s="14"/>
      <c r="H7" s="17" t="str">
        <f>Sheet2!Q5</f>
        <v/>
      </c>
      <c r="I7" s="14"/>
      <c r="K7" s="17" t="str">
        <f>Sheet2!R5</f>
        <v/>
      </c>
      <c r="L7" s="14"/>
    </row>
    <row r="8" spans="2:12">
      <c r="B8" s="21" t="str">
        <f>Sheet2!O6</f>
        <v/>
      </c>
      <c r="C8" s="14"/>
      <c r="E8" s="17" t="str">
        <f>Sheet2!P6</f>
        <v/>
      </c>
      <c r="F8" s="14"/>
      <c r="H8" s="17" t="str">
        <f>Sheet2!Q6</f>
        <v/>
      </c>
      <c r="I8" s="14"/>
      <c r="K8" s="17" t="str">
        <f>Sheet2!R6</f>
        <v/>
      </c>
      <c r="L8" s="14"/>
    </row>
    <row r="9" spans="2:12">
      <c r="B9" s="21" t="str">
        <f>Sheet2!O7</f>
        <v/>
      </c>
      <c r="C9" s="14"/>
      <c r="E9" s="17" t="str">
        <f>Sheet2!P7</f>
        <v/>
      </c>
      <c r="F9" s="14"/>
      <c r="H9" s="17" t="str">
        <f>Sheet2!Q7</f>
        <v/>
      </c>
      <c r="I9" s="14"/>
      <c r="K9" s="17" t="str">
        <f>Sheet2!R7</f>
        <v/>
      </c>
      <c r="L9" s="14"/>
    </row>
    <row r="10" spans="2:12">
      <c r="B10" s="21" t="str">
        <f>Sheet2!O8</f>
        <v/>
      </c>
      <c r="C10" s="14"/>
      <c r="E10" s="17" t="str">
        <f>Sheet2!P8</f>
        <v/>
      </c>
      <c r="F10" s="14"/>
      <c r="H10" s="17" t="str">
        <f>Sheet2!Q8</f>
        <v/>
      </c>
      <c r="I10" s="14"/>
      <c r="K10" s="17" t="str">
        <f>Sheet2!R8</f>
        <v/>
      </c>
      <c r="L10" s="14"/>
    </row>
    <row r="11" spans="2:12">
      <c r="B11" s="21" t="str">
        <f>Sheet2!O9</f>
        <v/>
      </c>
      <c r="C11" s="14"/>
      <c r="E11" s="17" t="str">
        <f>Sheet2!P9</f>
        <v/>
      </c>
      <c r="F11" s="14"/>
      <c r="H11" s="17" t="str">
        <f>Sheet2!Q9</f>
        <v/>
      </c>
      <c r="I11" s="14"/>
      <c r="K11" s="17" t="str">
        <f>Sheet2!R9</f>
        <v/>
      </c>
      <c r="L11" s="14"/>
    </row>
    <row r="12" spans="2:12">
      <c r="B12" s="21" t="str">
        <f>Sheet2!O10</f>
        <v/>
      </c>
      <c r="C12" s="14"/>
      <c r="E12" s="17" t="str">
        <f>Sheet2!P10</f>
        <v/>
      </c>
      <c r="F12" s="14"/>
      <c r="H12" s="17" t="str">
        <f>Sheet2!Q10</f>
        <v/>
      </c>
      <c r="I12" s="14"/>
      <c r="K12" s="17" t="str">
        <f>Sheet2!R10</f>
        <v/>
      </c>
      <c r="L12" s="14"/>
    </row>
    <row r="13" spans="2:12">
      <c r="B13" s="21" t="str">
        <f>Sheet2!O11</f>
        <v/>
      </c>
      <c r="C13" s="14"/>
      <c r="E13" s="17" t="str">
        <f>Sheet2!P11</f>
        <v/>
      </c>
      <c r="F13" s="14"/>
      <c r="H13" s="17" t="str">
        <f>Sheet2!Q11</f>
        <v/>
      </c>
      <c r="I13" s="14"/>
      <c r="K13" s="17" t="str">
        <f>Sheet2!R11</f>
        <v/>
      </c>
      <c r="L13" s="14"/>
    </row>
    <row r="14" spans="2:12">
      <c r="B14" s="22" t="str">
        <f>Sheet2!O12</f>
        <v/>
      </c>
      <c r="C14" s="15"/>
      <c r="E14" s="18" t="str">
        <f>Sheet2!P12</f>
        <v/>
      </c>
      <c r="F14" s="15"/>
      <c r="H14" s="18" t="str">
        <f>Sheet2!Q12</f>
        <v/>
      </c>
      <c r="I14" s="15"/>
      <c r="K14" s="18" t="str">
        <f>Sheet2!R12</f>
        <v/>
      </c>
      <c r="L14" s="15"/>
    </row>
    <row r="19" spans="2:2">
      <c r="B19" s="26" t="s">
        <v>26</v>
      </c>
    </row>
  </sheetData>
  <sheetProtection sheet="1" objects="1" scenarios="1" formatCells="0" formatColumns="0" formatRows="0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Scroll Bar 1">
              <controlPr defaultSize="0" autoPict="0">
                <anchor moveWithCells="1">
                  <from>
                    <xdr:col>2</xdr:col>
                    <xdr:colOff>95250</xdr:colOff>
                    <xdr:row>4</xdr:row>
                    <xdr:rowOff>47625</xdr:rowOff>
                  </from>
                  <to>
                    <xdr:col>2</xdr:col>
                    <xdr:colOff>247650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7" r:id="rId5" name="Scroll Bar 61">
              <controlPr defaultSize="0" autoPict="0">
                <anchor moveWithCells="1">
                  <from>
                    <xdr:col>5</xdr:col>
                    <xdr:colOff>114300</xdr:colOff>
                    <xdr:row>4</xdr:row>
                    <xdr:rowOff>47625</xdr:rowOff>
                  </from>
                  <to>
                    <xdr:col>5</xdr:col>
                    <xdr:colOff>266700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0" r:id="rId6" name="Scroll Bar 64">
              <controlPr defaultSize="0" autoPict="0">
                <anchor moveWithCells="1">
                  <from>
                    <xdr:col>8</xdr:col>
                    <xdr:colOff>114300</xdr:colOff>
                    <xdr:row>4</xdr:row>
                    <xdr:rowOff>47625</xdr:rowOff>
                  </from>
                  <to>
                    <xdr:col>8</xdr:col>
                    <xdr:colOff>266700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1" r:id="rId7" name="Scroll Bar 65">
              <controlPr defaultSize="0" autoPict="0">
                <anchor moveWithCells="1">
                  <from>
                    <xdr:col>11</xdr:col>
                    <xdr:colOff>114300</xdr:colOff>
                    <xdr:row>4</xdr:row>
                    <xdr:rowOff>47625</xdr:rowOff>
                  </from>
                  <to>
                    <xdr:col>11</xdr:col>
                    <xdr:colOff>266700</xdr:colOff>
                    <xdr:row>13</xdr:row>
                    <xdr:rowOff>152400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5F2DF34C-2FBC-4808-B4AA-1DE6548ECDA5}">
            <xm:f>INDEX(Sheet2!$C$3:$C$52,SMALL(Sheet2!$J$3:$J$52,ROWS($A$18:A18)-1+Sheet2!$B$6))</xm:f>
            <x14:dxf>
              <font>
                <strike/>
              </font>
            </x14:dxf>
          </x14:cfRule>
          <xm:sqref>B5:B14</xm:sqref>
        </x14:conditionalFormatting>
        <x14:conditionalFormatting xmlns:xm="http://schemas.microsoft.com/office/excel/2006/main">
          <x14:cfRule type="expression" priority="3" id="{B5BDF83C-25AB-471C-B8AE-0412F7E2D8C3}">
            <xm:f>INDEX(Sheet2!$C$3:$C$52,SMALL(Sheet2!$K$3:$K$52,ROWS($A$18:A18)-1+Sheet2!$B$7))</xm:f>
            <x14:dxf>
              <font>
                <strike/>
              </font>
            </x14:dxf>
          </x14:cfRule>
          <xm:sqref>E5:E14</xm:sqref>
        </x14:conditionalFormatting>
        <x14:conditionalFormatting xmlns:xm="http://schemas.microsoft.com/office/excel/2006/main">
          <x14:cfRule type="expression" priority="2" id="{B020817F-C76D-444E-B71B-3ADA9534D84C}">
            <xm:f>INDEX(Sheet2!$C$3:$C$52,SMALL(Sheet2!$L$3:$L$52,ROWS($A$18:A18)-1+Sheet2!$B$8))</xm:f>
            <x14:dxf>
              <font>
                <strike/>
              </font>
            </x14:dxf>
          </x14:cfRule>
          <xm:sqref>H5:H14</xm:sqref>
        </x14:conditionalFormatting>
        <x14:conditionalFormatting xmlns:xm="http://schemas.microsoft.com/office/excel/2006/main">
          <x14:cfRule type="expression" priority="1" id="{E7389C31-06C2-4E62-9AFF-933719A2178B}">
            <xm:f>INDEX(Sheet2!$C$3:$C$52,SMALL(Sheet2!$M$3:$M$52,ROWS($A$18:A18)-1+Sheet2!$B$9))</xm:f>
            <x14:dxf>
              <font>
                <strike/>
              </font>
            </x14:dxf>
          </x14:cfRule>
          <xm:sqref>K5:K14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To Do List</vt:lpstr>
      <vt:lpstr>To Do List Sorted</vt:lpstr>
      <vt:lpstr>Sheet2</vt:lpstr>
      <vt:lpstr>Task Matrix</vt:lpstr>
      <vt:lpstr>YesNo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2015-07-22T03:50:29Z</dcterms:modified>
</cp:coreProperties>
</file>